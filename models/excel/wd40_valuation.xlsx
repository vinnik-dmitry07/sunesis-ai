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93ED054F-6A65-4899-B0FE-F88E6D8A444F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cenario inputs" sheetId="1" r:id="rId1"/>
    <sheet name="DCF Original" sheetId="2" r:id="rId2"/>
    <sheet name="DCF Bear" sheetId="3" r:id="rId3"/>
    <sheet name="DCF Base" sheetId="4" r:id="rId4"/>
    <sheet name="DCF Bull" sheetId="5" r:id="rId5"/>
    <sheet name="EVA Original" sheetId="6" r:id="rId6"/>
    <sheet name="EVA Bear" sheetId="7" r:id="rId7"/>
    <sheet name="EVA Base" sheetId="8" r:id="rId8"/>
    <sheet name="EVA Bull" sheetId="9" r:id="rId9"/>
    <sheet name="DDM Bear" sheetId="10" r:id="rId10"/>
    <sheet name="DDM Base" sheetId="11" r:id="rId11"/>
    <sheet name="DDM Bull" sheetId="12" r:id="rId12"/>
    <sheet name="LBO Bear" sheetId="13" r:id="rId13"/>
    <sheet name="LBO Base" sheetId="14" r:id="rId14"/>
    <sheet name="LBO Bull" sheetId="15" r:id="rId15"/>
    <sheet name="Synergies Bear" sheetId="16" r:id="rId16"/>
    <sheet name="Synergies Base" sheetId="17" r:id="rId17"/>
    <sheet name="Synergies Bull" sheetId="18" r:id="rId18"/>
    <sheet name="Comps peers" sheetId="19" r:id="rId19"/>
    <sheet name="Comps valuation" sheetId="20" r:id="rId20"/>
    <sheet name="Precedent deals" sheetId="21" r:id="rId21"/>
    <sheet name="Precedent valuation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2" l="1"/>
  <c r="D8" i="22" s="1"/>
  <c r="D9" i="22" s="1"/>
  <c r="C7" i="22"/>
  <c r="C8" i="22" s="1"/>
  <c r="C9" i="22" s="1"/>
  <c r="B7" i="22"/>
  <c r="B8" i="22" s="1"/>
  <c r="B9" i="22" s="1"/>
  <c r="E8" i="21"/>
  <c r="E7" i="21"/>
  <c r="H6" i="21"/>
  <c r="E6" i="21"/>
  <c r="E5" i="21"/>
  <c r="H4" i="21"/>
  <c r="E4" i="21"/>
  <c r="H3" i="21"/>
  <c r="E3" i="21"/>
  <c r="H2" i="21"/>
  <c r="E2" i="21"/>
  <c r="D4" i="20"/>
  <c r="D9" i="20" s="1"/>
  <c r="D10" i="20" s="1"/>
  <c r="D11" i="20" s="1"/>
  <c r="C4" i="20"/>
  <c r="C9" i="20" s="1"/>
  <c r="C10" i="20" s="1"/>
  <c r="C11" i="20" s="1"/>
  <c r="B4" i="20"/>
  <c r="B9" i="20" s="1"/>
  <c r="B10" i="20" s="1"/>
  <c r="B11" i="20" s="1"/>
  <c r="M6" i="19"/>
  <c r="L6" i="19" s="1"/>
  <c r="D6" i="19"/>
  <c r="G6" i="19" s="1"/>
  <c r="M5" i="19"/>
  <c r="L5" i="19" s="1"/>
  <c r="D5" i="19"/>
  <c r="G5" i="19" s="1"/>
  <c r="N5" i="19" s="1"/>
  <c r="M4" i="19"/>
  <c r="L4" i="19"/>
  <c r="D4" i="19"/>
  <c r="G4" i="19" s="1"/>
  <c r="M3" i="19"/>
  <c r="L3" i="19" s="1"/>
  <c r="D3" i="19"/>
  <c r="G3" i="19" s="1"/>
  <c r="O3" i="19" s="1"/>
  <c r="M2" i="19"/>
  <c r="L2" i="19"/>
  <c r="D2" i="19"/>
  <c r="G2" i="19" s="1"/>
  <c r="B30" i="15"/>
  <c r="B19" i="15"/>
  <c r="B15" i="15"/>
  <c r="C24" i="15" s="1"/>
  <c r="B12" i="15"/>
  <c r="B29" i="15" s="1"/>
  <c r="B4" i="15"/>
  <c r="B8" i="15" s="1"/>
  <c r="B10" i="15" s="1"/>
  <c r="B30" i="14"/>
  <c r="B29" i="14"/>
  <c r="B19" i="14"/>
  <c r="B15" i="14"/>
  <c r="C24" i="14" s="1"/>
  <c r="B12" i="14"/>
  <c r="B4" i="14"/>
  <c r="B30" i="13"/>
  <c r="B19" i="13"/>
  <c r="B15" i="13"/>
  <c r="C24" i="13" s="1"/>
  <c r="B12" i="13"/>
  <c r="B29" i="13" s="1"/>
  <c r="B8" i="13"/>
  <c r="B18" i="13" s="1"/>
  <c r="B20" i="13" s="1"/>
  <c r="B4" i="13"/>
  <c r="B12" i="12"/>
  <c r="L6" i="12"/>
  <c r="K6" i="12"/>
  <c r="J6" i="12"/>
  <c r="I6" i="12"/>
  <c r="H6" i="12"/>
  <c r="G6" i="12"/>
  <c r="F6" i="12"/>
  <c r="E6" i="12"/>
  <c r="D6" i="12"/>
  <c r="C6" i="12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C3" i="12"/>
  <c r="D3" i="12" s="1"/>
  <c r="E3" i="12" s="1"/>
  <c r="B12" i="11"/>
  <c r="L6" i="11"/>
  <c r="K6" i="11"/>
  <c r="J6" i="11"/>
  <c r="I6" i="11"/>
  <c r="H6" i="11"/>
  <c r="G6" i="11"/>
  <c r="F6" i="11"/>
  <c r="E6" i="11"/>
  <c r="D6" i="11"/>
  <c r="C6" i="11"/>
  <c r="B4" i="11"/>
  <c r="C4" i="11" s="1"/>
  <c r="C5" i="11" s="1"/>
  <c r="C7" i="11" s="1"/>
  <c r="C3" i="11"/>
  <c r="D3" i="11" s="1"/>
  <c r="B12" i="10"/>
  <c r="L6" i="10"/>
  <c r="K6" i="10"/>
  <c r="J6" i="10"/>
  <c r="I6" i="10"/>
  <c r="H6" i="10"/>
  <c r="G6" i="10"/>
  <c r="F6" i="10"/>
  <c r="E6" i="10"/>
  <c r="D6" i="10"/>
  <c r="C6" i="10"/>
  <c r="B4" i="10"/>
  <c r="C4" i="10" s="1"/>
  <c r="C3" i="10"/>
  <c r="D3" i="10" s="1"/>
  <c r="B12" i="9"/>
  <c r="B9" i="9"/>
  <c r="G4" i="9"/>
  <c r="F4" i="9"/>
  <c r="E4" i="9"/>
  <c r="B12" i="8"/>
  <c r="B12" i="7"/>
  <c r="B9" i="7"/>
  <c r="G4" i="7"/>
  <c r="E4" i="7"/>
  <c r="C3" i="6"/>
  <c r="B29" i="5"/>
  <c r="B27" i="5"/>
  <c r="B25" i="5"/>
  <c r="B24" i="5"/>
  <c r="B23" i="5"/>
  <c r="B22" i="5"/>
  <c r="B17" i="5"/>
  <c r="B14" i="9" s="1"/>
  <c r="B15" i="5"/>
  <c r="C3" i="9" s="1"/>
  <c r="M12" i="5"/>
  <c r="G12" i="5"/>
  <c r="H12" i="5" s="1"/>
  <c r="F12" i="5"/>
  <c r="E12" i="5"/>
  <c r="D12" i="5"/>
  <c r="D4" i="9" s="1"/>
  <c r="C12" i="5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B6" i="5"/>
  <c r="L5" i="5"/>
  <c r="M5" i="5" s="1"/>
  <c r="K5" i="5"/>
  <c r="J5" i="5"/>
  <c r="I5" i="5"/>
  <c r="H5" i="5"/>
  <c r="C5" i="5"/>
  <c r="B4" i="5"/>
  <c r="C4" i="5" s="1"/>
  <c r="D4" i="5" s="1"/>
  <c r="M3" i="5"/>
  <c r="G3" i="5"/>
  <c r="I3" i="5" s="1"/>
  <c r="F3" i="5"/>
  <c r="E3" i="5"/>
  <c r="D3" i="5"/>
  <c r="C3" i="5"/>
  <c r="B29" i="4"/>
  <c r="B27" i="4"/>
  <c r="B25" i="4"/>
  <c r="B24" i="4"/>
  <c r="B23" i="4"/>
  <c r="B22" i="4"/>
  <c r="B17" i="4"/>
  <c r="B14" i="8" s="1"/>
  <c r="B15" i="4"/>
  <c r="B9" i="8" s="1"/>
  <c r="M12" i="4"/>
  <c r="B13" i="18" s="1"/>
  <c r="G12" i="4"/>
  <c r="F12" i="4"/>
  <c r="F4" i="8" s="1"/>
  <c r="E12" i="4"/>
  <c r="E4" i="8" s="1"/>
  <c r="D12" i="4"/>
  <c r="D4" i="8" s="1"/>
  <c r="C12" i="4"/>
  <c r="C13" i="4" s="1"/>
  <c r="C8" i="16" s="1"/>
  <c r="L9" i="4"/>
  <c r="K9" i="4"/>
  <c r="J9" i="4"/>
  <c r="I9" i="4"/>
  <c r="H9" i="4"/>
  <c r="G9" i="4"/>
  <c r="F9" i="4"/>
  <c r="E9" i="4"/>
  <c r="D9" i="4"/>
  <c r="C9" i="4"/>
  <c r="M7" i="4"/>
  <c r="B7" i="4"/>
  <c r="C7" i="4" s="1"/>
  <c r="C25" i="14" s="1"/>
  <c r="C26" i="14" s="1"/>
  <c r="B6" i="4"/>
  <c r="B5" i="4" s="1"/>
  <c r="L5" i="4"/>
  <c r="M5" i="4" s="1"/>
  <c r="K5" i="4"/>
  <c r="J5" i="4"/>
  <c r="I5" i="4"/>
  <c r="H5" i="4"/>
  <c r="F5" i="4"/>
  <c r="C5" i="4"/>
  <c r="B4" i="4"/>
  <c r="M3" i="4"/>
  <c r="B13" i="8" s="1"/>
  <c r="G3" i="4"/>
  <c r="I3" i="4" s="1"/>
  <c r="F3" i="4"/>
  <c r="E3" i="4"/>
  <c r="D3" i="4"/>
  <c r="C3" i="4"/>
  <c r="B29" i="3"/>
  <c r="B27" i="3"/>
  <c r="B25" i="3"/>
  <c r="B24" i="3"/>
  <c r="B23" i="3"/>
  <c r="B22" i="3"/>
  <c r="B15" i="3"/>
  <c r="M12" i="3"/>
  <c r="G12" i="3"/>
  <c r="H12" i="3" s="1"/>
  <c r="I12" i="3" s="1"/>
  <c r="F12" i="3"/>
  <c r="F4" i="7" s="1"/>
  <c r="E12" i="3"/>
  <c r="D12" i="3"/>
  <c r="D4" i="7" s="1"/>
  <c r="C12" i="3"/>
  <c r="C13" i="3" s="1"/>
  <c r="C7" i="7" s="1"/>
  <c r="L9" i="3"/>
  <c r="K9" i="3"/>
  <c r="J9" i="3"/>
  <c r="I9" i="3"/>
  <c r="H9" i="3"/>
  <c r="G9" i="3"/>
  <c r="F9" i="3"/>
  <c r="E9" i="3"/>
  <c r="D9" i="3"/>
  <c r="C9" i="3"/>
  <c r="M7" i="3"/>
  <c r="B7" i="3"/>
  <c r="C7" i="3" s="1"/>
  <c r="D7" i="3" s="1"/>
  <c r="E7" i="3" s="1"/>
  <c r="F7" i="3" s="1"/>
  <c r="G7" i="3" s="1"/>
  <c r="H7" i="3" s="1"/>
  <c r="I7" i="3" s="1"/>
  <c r="J7" i="3" s="1"/>
  <c r="K7" i="3" s="1"/>
  <c r="L7" i="3" s="1"/>
  <c r="B6" i="3"/>
  <c r="B5" i="3" s="1"/>
  <c r="L5" i="3"/>
  <c r="M5" i="3" s="1"/>
  <c r="K5" i="3"/>
  <c r="J5" i="3"/>
  <c r="I5" i="3"/>
  <c r="H5" i="3"/>
  <c r="G5" i="3"/>
  <c r="C5" i="3"/>
  <c r="F5" i="3" s="1"/>
  <c r="B4" i="3"/>
  <c r="M3" i="3"/>
  <c r="B13" i="7" s="1"/>
  <c r="G3" i="3"/>
  <c r="F3" i="3"/>
  <c r="E3" i="3"/>
  <c r="D3" i="3"/>
  <c r="C3" i="3"/>
  <c r="B29" i="2"/>
  <c r="B27" i="2"/>
  <c r="B25" i="2"/>
  <c r="B24" i="2"/>
  <c r="B23" i="2"/>
  <c r="B22" i="2"/>
  <c r="B15" i="2"/>
  <c r="B9" i="6" s="1"/>
  <c r="M12" i="2"/>
  <c r="B12" i="6" s="1"/>
  <c r="G12" i="2"/>
  <c r="H12" i="2" s="1"/>
  <c r="H4" i="6" s="1"/>
  <c r="F12" i="2"/>
  <c r="F4" i="6" s="1"/>
  <c r="E12" i="2"/>
  <c r="E4" i="6" s="1"/>
  <c r="D12" i="2"/>
  <c r="D4" i="6" s="1"/>
  <c r="C12" i="2"/>
  <c r="L9" i="2"/>
  <c r="K9" i="2"/>
  <c r="J9" i="2"/>
  <c r="I9" i="2"/>
  <c r="H9" i="2"/>
  <c r="G9" i="2"/>
  <c r="F9" i="2"/>
  <c r="E9" i="2"/>
  <c r="D9" i="2"/>
  <c r="C9" i="2"/>
  <c r="M7" i="2"/>
  <c r="B7" i="2"/>
  <c r="C7" i="2" s="1"/>
  <c r="D7" i="2" s="1"/>
  <c r="E7" i="2" s="1"/>
  <c r="F7" i="2" s="1"/>
  <c r="G7" i="2" s="1"/>
  <c r="H7" i="2" s="1"/>
  <c r="I7" i="2" s="1"/>
  <c r="J7" i="2" s="1"/>
  <c r="K7" i="2" s="1"/>
  <c r="L7" i="2" s="1"/>
  <c r="B6" i="2"/>
  <c r="L5" i="2"/>
  <c r="M5" i="2" s="1"/>
  <c r="K5" i="2"/>
  <c r="J5" i="2"/>
  <c r="I5" i="2"/>
  <c r="H5" i="2"/>
  <c r="C5" i="2"/>
  <c r="E5" i="2" s="1"/>
  <c r="B4" i="2"/>
  <c r="C4" i="2" s="1"/>
  <c r="D4" i="2" s="1"/>
  <c r="M3" i="2"/>
  <c r="B13" i="6" s="1"/>
  <c r="I3" i="2"/>
  <c r="H3" i="2"/>
  <c r="G3" i="2"/>
  <c r="F3" i="2"/>
  <c r="E3" i="2"/>
  <c r="D3" i="2"/>
  <c r="C3" i="2"/>
  <c r="H4" i="9" l="1"/>
  <c r="I12" i="5"/>
  <c r="I4" i="9" s="1"/>
  <c r="C10" i="5"/>
  <c r="C15" i="5" s="1"/>
  <c r="E4" i="5"/>
  <c r="N4" i="19"/>
  <c r="C4" i="7"/>
  <c r="O4" i="19"/>
  <c r="C5" i="10"/>
  <c r="C7" i="10" s="1"/>
  <c r="D4" i="10"/>
  <c r="E4" i="10" s="1"/>
  <c r="F4" i="10" s="1"/>
  <c r="G4" i="10" s="1"/>
  <c r="H4" i="10" s="1"/>
  <c r="I4" i="10" s="1"/>
  <c r="J4" i="10" s="1"/>
  <c r="K4" i="10" s="1"/>
  <c r="L4" i="10" s="1"/>
  <c r="H3" i="5"/>
  <c r="B8" i="14"/>
  <c r="B10" i="14" s="1"/>
  <c r="J3" i="4"/>
  <c r="J3" i="5"/>
  <c r="C3" i="8"/>
  <c r="B13" i="16"/>
  <c r="C4" i="3"/>
  <c r="B8" i="3"/>
  <c r="B16" i="3" s="1"/>
  <c r="K3" i="4"/>
  <c r="B8" i="4"/>
  <c r="B16" i="4" s="1"/>
  <c r="K3" i="5"/>
  <c r="B13" i="17"/>
  <c r="H3" i="4"/>
  <c r="E5" i="3"/>
  <c r="C4" i="4"/>
  <c r="C21" i="13" s="1"/>
  <c r="L3" i="4"/>
  <c r="D5" i="3"/>
  <c r="D3" i="9"/>
  <c r="C6" i="2"/>
  <c r="C8" i="2" s="1"/>
  <c r="I4" i="7"/>
  <c r="J12" i="3"/>
  <c r="C10" i="2"/>
  <c r="C15" i="2" s="1"/>
  <c r="E4" i="2"/>
  <c r="J12" i="5"/>
  <c r="E5" i="12"/>
  <c r="E7" i="12" s="1"/>
  <c r="F3" i="12"/>
  <c r="O5" i="19"/>
  <c r="D5" i="12"/>
  <c r="D7" i="12" s="1"/>
  <c r="K3" i="3"/>
  <c r="L3" i="3"/>
  <c r="I3" i="3"/>
  <c r="J3" i="3"/>
  <c r="H3" i="3"/>
  <c r="C3" i="7"/>
  <c r="C5" i="7" s="1"/>
  <c r="B8" i="5"/>
  <c r="B16" i="5" s="1"/>
  <c r="B5" i="5"/>
  <c r="N2" i="19"/>
  <c r="O2" i="19"/>
  <c r="D13" i="3"/>
  <c r="C13" i="2"/>
  <c r="C4" i="6"/>
  <c r="C5" i="6" s="1"/>
  <c r="D10" i="5"/>
  <c r="D15" i="5" s="1"/>
  <c r="F4" i="5"/>
  <c r="L3" i="2"/>
  <c r="K3" i="2"/>
  <c r="J3" i="2"/>
  <c r="B8" i="2"/>
  <c r="B16" i="2" s="1"/>
  <c r="B5" i="2"/>
  <c r="C8" i="17"/>
  <c r="C8" i="18"/>
  <c r="D13" i="4"/>
  <c r="C7" i="8"/>
  <c r="C6" i="17"/>
  <c r="D7" i="4"/>
  <c r="C25" i="15"/>
  <c r="C25" i="13"/>
  <c r="C26" i="13" s="1"/>
  <c r="D5" i="11"/>
  <c r="D7" i="11" s="1"/>
  <c r="E3" i="11"/>
  <c r="C4" i="8"/>
  <c r="D5" i="9"/>
  <c r="O6" i="19"/>
  <c r="N6" i="19"/>
  <c r="B12" i="17"/>
  <c r="D4" i="11"/>
  <c r="E4" i="11" s="1"/>
  <c r="F4" i="11" s="1"/>
  <c r="G4" i="11" s="1"/>
  <c r="H4" i="11" s="1"/>
  <c r="I4" i="11" s="1"/>
  <c r="J4" i="11" s="1"/>
  <c r="K4" i="11" s="1"/>
  <c r="L4" i="11" s="1"/>
  <c r="C6" i="18"/>
  <c r="C6" i="16"/>
  <c r="C5" i="12"/>
  <c r="C7" i="12" s="1"/>
  <c r="G4" i="8"/>
  <c r="H12" i="4"/>
  <c r="F5" i="5"/>
  <c r="D5" i="5"/>
  <c r="D6" i="5" s="1"/>
  <c r="D8" i="5" s="1"/>
  <c r="C6" i="5"/>
  <c r="C8" i="5" s="1"/>
  <c r="G4" i="6"/>
  <c r="H4" i="7"/>
  <c r="B18" i="15"/>
  <c r="B20" i="15" s="1"/>
  <c r="C2" i="16"/>
  <c r="C4" i="16" s="1"/>
  <c r="D4" i="4"/>
  <c r="E5" i="5"/>
  <c r="E6" i="5" s="1"/>
  <c r="E8" i="5" s="1"/>
  <c r="B10" i="13"/>
  <c r="D5" i="2"/>
  <c r="D6" i="2" s="1"/>
  <c r="D8" i="2" s="1"/>
  <c r="F5" i="2"/>
  <c r="G5" i="2"/>
  <c r="G5" i="5"/>
  <c r="E3" i="10"/>
  <c r="N3" i="19"/>
  <c r="C4" i="9"/>
  <c r="C5" i="9" s="1"/>
  <c r="C13" i="5"/>
  <c r="C21" i="15"/>
  <c r="C6" i="4"/>
  <c r="G5" i="4"/>
  <c r="C26" i="15"/>
  <c r="D5" i="4"/>
  <c r="D6" i="4" s="1"/>
  <c r="B12" i="16"/>
  <c r="B12" i="18"/>
  <c r="I12" i="2"/>
  <c r="E5" i="4"/>
  <c r="L3" i="5"/>
  <c r="B13" i="9"/>
  <c r="C5" i="8" l="1"/>
  <c r="C2" i="18"/>
  <c r="C4" i="18" s="1"/>
  <c r="B18" i="14"/>
  <c r="B20" i="14" s="1"/>
  <c r="C21" i="14"/>
  <c r="C22" i="14" s="1"/>
  <c r="C2" i="17"/>
  <c r="C4" i="17" s="1"/>
  <c r="D5" i="10"/>
  <c r="D7" i="10" s="1"/>
  <c r="D4" i="3"/>
  <c r="C6" i="3"/>
  <c r="C8" i="3" s="1"/>
  <c r="E3" i="9"/>
  <c r="E5" i="9" s="1"/>
  <c r="D3" i="6"/>
  <c r="D5" i="6" s="1"/>
  <c r="D10" i="2"/>
  <c r="D11" i="2" s="1"/>
  <c r="F4" i="2"/>
  <c r="E6" i="2"/>
  <c r="E8" i="2" s="1"/>
  <c r="E5" i="11"/>
  <c r="E7" i="11" s="1"/>
  <c r="F3" i="11"/>
  <c r="C8" i="4"/>
  <c r="C22" i="15"/>
  <c r="C22" i="13"/>
  <c r="D16" i="2"/>
  <c r="D2" i="6"/>
  <c r="G4" i="5"/>
  <c r="G6" i="5" s="1"/>
  <c r="G8" i="5" s="1"/>
  <c r="E10" i="5"/>
  <c r="E15" i="5" s="1"/>
  <c r="D22" i="13"/>
  <c r="D8" i="4"/>
  <c r="J4" i="7"/>
  <c r="K12" i="3"/>
  <c r="D25" i="14"/>
  <c r="D25" i="13"/>
  <c r="D6" i="16"/>
  <c r="D6" i="18"/>
  <c r="D25" i="15"/>
  <c r="D6" i="17"/>
  <c r="E7" i="4"/>
  <c r="D8" i="17"/>
  <c r="E13" i="4"/>
  <c r="D7" i="8"/>
  <c r="D8" i="16"/>
  <c r="D8" i="18"/>
  <c r="G3" i="12"/>
  <c r="F5" i="12"/>
  <c r="F7" i="12" s="1"/>
  <c r="D13" i="2"/>
  <c r="C7" i="6"/>
  <c r="D7" i="7"/>
  <c r="E13" i="3"/>
  <c r="E2" i="9"/>
  <c r="E16" i="5"/>
  <c r="C16" i="5"/>
  <c r="C2" i="9"/>
  <c r="C6" i="9" s="1"/>
  <c r="C8" i="9" s="1"/>
  <c r="C11" i="5"/>
  <c r="C14" i="5" s="1"/>
  <c r="C2" i="6"/>
  <c r="C6" i="6" s="1"/>
  <c r="C11" i="2"/>
  <c r="C14" i="2" s="1"/>
  <c r="C16" i="2"/>
  <c r="D2" i="16"/>
  <c r="C10" i="4"/>
  <c r="C15" i="4" s="1"/>
  <c r="D2" i="17"/>
  <c r="D21" i="15"/>
  <c r="D22" i="15" s="1"/>
  <c r="D2" i="18"/>
  <c r="D21" i="14"/>
  <c r="D22" i="14" s="1"/>
  <c r="E4" i="4"/>
  <c r="D21" i="13"/>
  <c r="C7" i="9"/>
  <c r="D13" i="5"/>
  <c r="F6" i="5"/>
  <c r="F8" i="5" s="1"/>
  <c r="J4" i="9"/>
  <c r="K12" i="5"/>
  <c r="D2" i="9"/>
  <c r="D6" i="9" s="1"/>
  <c r="D16" i="5"/>
  <c r="D11" i="5"/>
  <c r="D14" i="5" s="1"/>
  <c r="J12" i="2"/>
  <c r="I4" i="6"/>
  <c r="E5" i="10"/>
  <c r="E7" i="10" s="1"/>
  <c r="F3" i="10"/>
  <c r="I12" i="4"/>
  <c r="H4" i="8"/>
  <c r="C2" i="7" l="1"/>
  <c r="C6" i="7" s="1"/>
  <c r="C8" i="7" s="1"/>
  <c r="C16" i="3"/>
  <c r="C8" i="6"/>
  <c r="E4" i="3"/>
  <c r="C10" i="3"/>
  <c r="C15" i="3" s="1"/>
  <c r="D3" i="7" s="1"/>
  <c r="D5" i="7" s="1"/>
  <c r="D14" i="2"/>
  <c r="E11" i="5"/>
  <c r="E6" i="9"/>
  <c r="D6" i="3"/>
  <c r="D8" i="3" s="1"/>
  <c r="F3" i="9"/>
  <c r="F5" i="9" s="1"/>
  <c r="E2" i="16"/>
  <c r="E4" i="16" s="1"/>
  <c r="E7" i="16" s="1"/>
  <c r="E2" i="18"/>
  <c r="E4" i="18" s="1"/>
  <c r="E7" i="18" s="1"/>
  <c r="F4" i="4"/>
  <c r="E2" i="17"/>
  <c r="E4" i="17" s="1"/>
  <c r="E7" i="17" s="1"/>
  <c r="E9" i="17" s="1"/>
  <c r="E21" i="15"/>
  <c r="E21" i="14"/>
  <c r="D10" i="4"/>
  <c r="D11" i="4" s="1"/>
  <c r="E21" i="13"/>
  <c r="G2" i="9"/>
  <c r="G3" i="10"/>
  <c r="F5" i="10"/>
  <c r="F7" i="10" s="1"/>
  <c r="F13" i="4"/>
  <c r="E8" i="18"/>
  <c r="E8" i="17"/>
  <c r="E8" i="16"/>
  <c r="E7" i="8"/>
  <c r="D15" i="4"/>
  <c r="D3" i="8"/>
  <c r="D5" i="8" s="1"/>
  <c r="E25" i="15"/>
  <c r="E25" i="13"/>
  <c r="E6" i="16"/>
  <c r="E6" i="18"/>
  <c r="E25" i="14"/>
  <c r="F7" i="4"/>
  <c r="E6" i="17"/>
  <c r="G4" i="2"/>
  <c r="E10" i="2"/>
  <c r="E11" i="2" s="1"/>
  <c r="E14" i="2" s="1"/>
  <c r="J12" i="4"/>
  <c r="I4" i="8"/>
  <c r="E6" i="4"/>
  <c r="D4" i="16"/>
  <c r="D5" i="16"/>
  <c r="C5" i="16"/>
  <c r="C7" i="16" s="1"/>
  <c r="C9" i="16" s="1"/>
  <c r="D2" i="8"/>
  <c r="D16" i="4"/>
  <c r="F6" i="2"/>
  <c r="F8" i="2" s="1"/>
  <c r="C11" i="4"/>
  <c r="C2" i="8"/>
  <c r="C6" i="8" s="1"/>
  <c r="C8" i="8" s="1"/>
  <c r="C16" i="4"/>
  <c r="F5" i="11"/>
  <c r="F7" i="11" s="1"/>
  <c r="G3" i="11"/>
  <c r="F13" i="3"/>
  <c r="E7" i="7"/>
  <c r="D15" i="2"/>
  <c r="E16" i="2" s="1"/>
  <c r="C5" i="18"/>
  <c r="C7" i="18" s="1"/>
  <c r="C9" i="18" s="1"/>
  <c r="D4" i="18"/>
  <c r="D5" i="18"/>
  <c r="D4" i="17"/>
  <c r="C5" i="17"/>
  <c r="C7" i="17" s="1"/>
  <c r="C9" i="17" s="1"/>
  <c r="D5" i="17"/>
  <c r="J4" i="6"/>
  <c r="K12" i="2"/>
  <c r="E2" i="6"/>
  <c r="D8" i="9"/>
  <c r="K4" i="9"/>
  <c r="L12" i="5"/>
  <c r="L4" i="9" s="1"/>
  <c r="F10" i="5"/>
  <c r="F15" i="5" s="1"/>
  <c r="H4" i="5"/>
  <c r="F2" i="9"/>
  <c r="F6" i="9" s="1"/>
  <c r="F16" i="5"/>
  <c r="F11" i="5"/>
  <c r="E13" i="2"/>
  <c r="D7" i="6"/>
  <c r="D7" i="9"/>
  <c r="E13" i="5"/>
  <c r="D6" i="6"/>
  <c r="D8" i="6" s="1"/>
  <c r="G5" i="12"/>
  <c r="G7" i="12" s="1"/>
  <c r="H3" i="12"/>
  <c r="K4" i="7"/>
  <c r="L12" i="3"/>
  <c r="D10" i="3" l="1"/>
  <c r="F4" i="3"/>
  <c r="E6" i="3"/>
  <c r="E8" i="3" s="1"/>
  <c r="D2" i="7"/>
  <c r="D6" i="7" s="1"/>
  <c r="D8" i="7" s="1"/>
  <c r="D16" i="3"/>
  <c r="C11" i="3"/>
  <c r="C14" i="3" s="1"/>
  <c r="D23" i="15"/>
  <c r="D23" i="14"/>
  <c r="D23" i="13"/>
  <c r="D14" i="4"/>
  <c r="G3" i="9"/>
  <c r="G5" i="9" s="1"/>
  <c r="G6" i="9" s="1"/>
  <c r="G16" i="5"/>
  <c r="I3" i="12"/>
  <c r="H5" i="12"/>
  <c r="H7" i="12" s="1"/>
  <c r="H3" i="11"/>
  <c r="G5" i="11"/>
  <c r="G7" i="11" s="1"/>
  <c r="E9" i="16"/>
  <c r="E22" i="14"/>
  <c r="E22" i="15"/>
  <c r="E8" i="4"/>
  <c r="E22" i="13"/>
  <c r="F7" i="7"/>
  <c r="G13" i="3"/>
  <c r="F2" i="6"/>
  <c r="F16" i="2"/>
  <c r="F11" i="2"/>
  <c r="F13" i="2"/>
  <c r="E7" i="6"/>
  <c r="F2" i="18"/>
  <c r="F4" i="18" s="1"/>
  <c r="F21" i="14"/>
  <c r="F21" i="13"/>
  <c r="F21" i="15"/>
  <c r="F2" i="16"/>
  <c r="F4" i="16" s="1"/>
  <c r="E10" i="4"/>
  <c r="E15" i="4" s="1"/>
  <c r="G4" i="4"/>
  <c r="F2" i="17"/>
  <c r="F4" i="17" s="1"/>
  <c r="F6" i="4"/>
  <c r="D6" i="8"/>
  <c r="D8" i="8" s="1"/>
  <c r="F6" i="17"/>
  <c r="G7" i="4"/>
  <c r="F25" i="14"/>
  <c r="F6" i="16"/>
  <c r="F25" i="13"/>
  <c r="F6" i="18"/>
  <c r="F25" i="15"/>
  <c r="E3" i="8"/>
  <c r="E5" i="8" s="1"/>
  <c r="K4" i="6"/>
  <c r="L12" i="2"/>
  <c r="H4" i="2"/>
  <c r="F10" i="2"/>
  <c r="G6" i="2"/>
  <c r="G8" i="2" s="1"/>
  <c r="I4" i="5"/>
  <c r="G10" i="5"/>
  <c r="G11" i="5" s="1"/>
  <c r="H6" i="5"/>
  <c r="H8" i="5" s="1"/>
  <c r="E7" i="9"/>
  <c r="E8" i="9" s="1"/>
  <c r="F13" i="5"/>
  <c r="F14" i="5" s="1"/>
  <c r="E9" i="18"/>
  <c r="B17" i="3"/>
  <c r="L4" i="7"/>
  <c r="K12" i="4"/>
  <c r="J4" i="8"/>
  <c r="C23" i="15"/>
  <c r="C27" i="15" s="1"/>
  <c r="C23" i="14"/>
  <c r="C27" i="14" s="1"/>
  <c r="C14" i="4"/>
  <c r="C23" i="13"/>
  <c r="C27" i="13" s="1"/>
  <c r="G13" i="4"/>
  <c r="F8" i="16"/>
  <c r="F8" i="18"/>
  <c r="F8" i="17"/>
  <c r="F7" i="8"/>
  <c r="D7" i="17"/>
  <c r="D9" i="17" s="1"/>
  <c r="G5" i="10"/>
  <c r="G7" i="10" s="1"/>
  <c r="H3" i="10"/>
  <c r="D7" i="18"/>
  <c r="D9" i="18" s="1"/>
  <c r="E15" i="2"/>
  <c r="E3" i="6"/>
  <c r="E5" i="6" s="1"/>
  <c r="E6" i="6" s="1"/>
  <c r="D7" i="16"/>
  <c r="D9" i="16" s="1"/>
  <c r="E14" i="5"/>
  <c r="F7" i="18" l="1"/>
  <c r="F9" i="18" s="1"/>
  <c r="F6" i="3"/>
  <c r="F8" i="3" s="1"/>
  <c r="F2" i="7" s="1"/>
  <c r="G4" i="3"/>
  <c r="E10" i="3"/>
  <c r="E11" i="3" s="1"/>
  <c r="E14" i="3" s="1"/>
  <c r="E2" i="7"/>
  <c r="D11" i="3"/>
  <c r="D14" i="3" s="1"/>
  <c r="D15" i="3"/>
  <c r="F3" i="8"/>
  <c r="F5" i="8" s="1"/>
  <c r="H11" i="5"/>
  <c r="H2" i="9"/>
  <c r="I3" i="11"/>
  <c r="H5" i="11"/>
  <c r="H7" i="11" s="1"/>
  <c r="I3" i="10"/>
  <c r="H5" i="10"/>
  <c r="H7" i="10" s="1"/>
  <c r="G6" i="17"/>
  <c r="G25" i="13"/>
  <c r="G6" i="18"/>
  <c r="G6" i="16"/>
  <c r="G25" i="15"/>
  <c r="H7" i="4"/>
  <c r="G25" i="14"/>
  <c r="F14" i="2"/>
  <c r="B14" i="7"/>
  <c r="F22" i="13"/>
  <c r="F8" i="4"/>
  <c r="F22" i="14"/>
  <c r="F22" i="15"/>
  <c r="E8" i="6"/>
  <c r="J3" i="12"/>
  <c r="I5" i="12"/>
  <c r="I7" i="12" s="1"/>
  <c r="H6" i="2"/>
  <c r="H8" i="2" s="1"/>
  <c r="I4" i="2"/>
  <c r="G10" i="2"/>
  <c r="G11" i="2" s="1"/>
  <c r="G14" i="2" s="1"/>
  <c r="B17" i="2"/>
  <c r="L4" i="6"/>
  <c r="C28" i="13"/>
  <c r="C29" i="13" s="1"/>
  <c r="F7" i="16"/>
  <c r="F9" i="16" s="1"/>
  <c r="E16" i="4"/>
  <c r="E2" i="8"/>
  <c r="E6" i="8" s="1"/>
  <c r="E8" i="8" s="1"/>
  <c r="E11" i="4"/>
  <c r="F7" i="17"/>
  <c r="F9" i="17" s="1"/>
  <c r="C28" i="15"/>
  <c r="C29" i="15" s="1"/>
  <c r="F7" i="6"/>
  <c r="G13" i="2"/>
  <c r="G15" i="5"/>
  <c r="G7" i="8"/>
  <c r="G8" i="17"/>
  <c r="G8" i="18"/>
  <c r="G8" i="16"/>
  <c r="H13" i="4"/>
  <c r="H13" i="3"/>
  <c r="G7" i="7"/>
  <c r="C28" i="14"/>
  <c r="C29" i="14" s="1"/>
  <c r="H10" i="5"/>
  <c r="J4" i="5"/>
  <c r="I6" i="5"/>
  <c r="I8" i="5" s="1"/>
  <c r="G2" i="6"/>
  <c r="F6" i="6"/>
  <c r="F8" i="6" s="1"/>
  <c r="G13" i="5"/>
  <c r="G14" i="5" s="1"/>
  <c r="F7" i="9"/>
  <c r="F8" i="9" s="1"/>
  <c r="G2" i="18"/>
  <c r="G4" i="18" s="1"/>
  <c r="F10" i="4"/>
  <c r="F15" i="4" s="1"/>
  <c r="H4" i="4"/>
  <c r="G2" i="17"/>
  <c r="G4" i="17" s="1"/>
  <c r="G21" i="15"/>
  <c r="G21" i="13"/>
  <c r="G2" i="16"/>
  <c r="G4" i="16" s="1"/>
  <c r="G21" i="14"/>
  <c r="G6" i="4"/>
  <c r="F15" i="2"/>
  <c r="G16" i="2" s="1"/>
  <c r="F3" i="6"/>
  <c r="F5" i="6" s="1"/>
  <c r="L12" i="4"/>
  <c r="L4" i="8" s="1"/>
  <c r="K4" i="8"/>
  <c r="E15" i="3" l="1"/>
  <c r="E3" i="7"/>
  <c r="E5" i="7" s="1"/>
  <c r="E6" i="7"/>
  <c r="E8" i="7" s="1"/>
  <c r="C30" i="13"/>
  <c r="F10" i="3"/>
  <c r="F11" i="3" s="1"/>
  <c r="F14" i="3" s="1"/>
  <c r="G6" i="3"/>
  <c r="G8" i="3" s="1"/>
  <c r="H4" i="3"/>
  <c r="E16" i="3"/>
  <c r="C30" i="15"/>
  <c r="D30" i="15" s="1"/>
  <c r="C30" i="14"/>
  <c r="G3" i="8"/>
  <c r="G5" i="8" s="1"/>
  <c r="G7" i="6"/>
  <c r="H13" i="2"/>
  <c r="H3" i="9"/>
  <c r="H5" i="9" s="1"/>
  <c r="H6" i="9" s="1"/>
  <c r="H15" i="5"/>
  <c r="H16" i="5"/>
  <c r="G22" i="15"/>
  <c r="B32" i="15" s="1"/>
  <c r="G22" i="14"/>
  <c r="B32" i="14" s="1"/>
  <c r="G8" i="4"/>
  <c r="G22" i="13"/>
  <c r="B32" i="13" s="1"/>
  <c r="K4" i="5"/>
  <c r="I10" i="5"/>
  <c r="I11" i="5" s="1"/>
  <c r="J6" i="5"/>
  <c r="J8" i="5" s="1"/>
  <c r="H2" i="6"/>
  <c r="G7" i="17"/>
  <c r="G9" i="17" s="1"/>
  <c r="H6" i="17"/>
  <c r="I7" i="4"/>
  <c r="H6" i="16"/>
  <c r="H6" i="18"/>
  <c r="B14" i="6"/>
  <c r="I2" i="9"/>
  <c r="D24" i="14"/>
  <c r="D26" i="14" s="1"/>
  <c r="D27" i="14" s="1"/>
  <c r="D28" i="14" s="1"/>
  <c r="D29" i="14" s="1"/>
  <c r="G3" i="6"/>
  <c r="G5" i="6" s="1"/>
  <c r="G15" i="2"/>
  <c r="H16" i="2" s="1"/>
  <c r="J3" i="11"/>
  <c r="I5" i="11"/>
  <c r="I7" i="11" s="1"/>
  <c r="G7" i="16"/>
  <c r="G9" i="16" s="1"/>
  <c r="J5" i="12"/>
  <c r="J7" i="12" s="1"/>
  <c r="K3" i="12"/>
  <c r="G7" i="18"/>
  <c r="G9" i="18" s="1"/>
  <c r="E23" i="14"/>
  <c r="E23" i="13"/>
  <c r="E14" i="4"/>
  <c r="E23" i="15"/>
  <c r="F2" i="8"/>
  <c r="F6" i="8" s="1"/>
  <c r="F8" i="8" s="1"/>
  <c r="F11" i="4"/>
  <c r="F16" i="4"/>
  <c r="I6" i="2"/>
  <c r="I8" i="2" s="1"/>
  <c r="H10" i="2"/>
  <c r="H11" i="2" s="1"/>
  <c r="J4" i="2"/>
  <c r="D24" i="15"/>
  <c r="D26" i="15" s="1"/>
  <c r="D27" i="15" s="1"/>
  <c r="D28" i="15" s="1"/>
  <c r="D29" i="15" s="1"/>
  <c r="I5" i="10"/>
  <c r="I7" i="10" s="1"/>
  <c r="J3" i="10"/>
  <c r="H2" i="16"/>
  <c r="H4" i="16" s="1"/>
  <c r="H2" i="18"/>
  <c r="H4" i="18" s="1"/>
  <c r="H6" i="4"/>
  <c r="H8" i="4" s="1"/>
  <c r="I4" i="4"/>
  <c r="G10" i="4"/>
  <c r="G15" i="4" s="1"/>
  <c r="H2" i="17"/>
  <c r="H4" i="17" s="1"/>
  <c r="D24" i="13"/>
  <c r="D26" i="13" s="1"/>
  <c r="D27" i="13" s="1"/>
  <c r="D28" i="13" s="1"/>
  <c r="D29" i="13" s="1"/>
  <c r="G6" i="6"/>
  <c r="H7" i="7"/>
  <c r="I13" i="3"/>
  <c r="H7" i="8"/>
  <c r="H8" i="18"/>
  <c r="H8" i="17"/>
  <c r="H8" i="16"/>
  <c r="I13" i="4"/>
  <c r="H13" i="5"/>
  <c r="G7" i="9"/>
  <c r="G8" i="9" s="1"/>
  <c r="G8" i="6" l="1"/>
  <c r="D30" i="14"/>
  <c r="G2" i="7"/>
  <c r="H6" i="3"/>
  <c r="H8" i="3" s="1"/>
  <c r="I4" i="3"/>
  <c r="G10" i="3"/>
  <c r="G11" i="3" s="1"/>
  <c r="G14" i="3" s="1"/>
  <c r="H14" i="2"/>
  <c r="H7" i="17"/>
  <c r="H9" i="17" s="1"/>
  <c r="F16" i="3"/>
  <c r="F3" i="7"/>
  <c r="F5" i="7" s="1"/>
  <c r="F6" i="7" s="1"/>
  <c r="F8" i="7" s="1"/>
  <c r="F15" i="3"/>
  <c r="E24" i="14"/>
  <c r="E26" i="14" s="1"/>
  <c r="E27" i="14" s="1"/>
  <c r="E28" i="14" s="1"/>
  <c r="E29" i="14" s="1"/>
  <c r="H3" i="8"/>
  <c r="H5" i="8" s="1"/>
  <c r="E24" i="15"/>
  <c r="E26" i="15" s="1"/>
  <c r="E27" i="15" s="1"/>
  <c r="E24" i="13"/>
  <c r="E26" i="13" s="1"/>
  <c r="E27" i="13" s="1"/>
  <c r="E28" i="13" s="1"/>
  <c r="E29" i="13" s="1"/>
  <c r="I13" i="5"/>
  <c r="H7" i="9"/>
  <c r="H8" i="9" s="1"/>
  <c r="G16" i="4"/>
  <c r="G2" i="8"/>
  <c r="G6" i="8" s="1"/>
  <c r="G8" i="8" s="1"/>
  <c r="G11" i="4"/>
  <c r="H10" i="4"/>
  <c r="H15" i="4" s="1"/>
  <c r="I2" i="17"/>
  <c r="I4" i="17" s="1"/>
  <c r="I2" i="16"/>
  <c r="I4" i="16" s="1"/>
  <c r="I2" i="18"/>
  <c r="I4" i="18" s="1"/>
  <c r="I7" i="18" s="1"/>
  <c r="I9" i="18" s="1"/>
  <c r="J4" i="4"/>
  <c r="I6" i="4"/>
  <c r="I8" i="4" s="1"/>
  <c r="I6" i="9"/>
  <c r="J5" i="11"/>
  <c r="J7" i="11" s="1"/>
  <c r="K3" i="11"/>
  <c r="I15" i="5"/>
  <c r="J16" i="5" s="1"/>
  <c r="I3" i="9"/>
  <c r="I5" i="9" s="1"/>
  <c r="D30" i="13"/>
  <c r="F23" i="13"/>
  <c r="F14" i="4"/>
  <c r="F23" i="14"/>
  <c r="F23" i="15"/>
  <c r="H7" i="18"/>
  <c r="H9" i="18" s="1"/>
  <c r="H7" i="16"/>
  <c r="H9" i="16" s="1"/>
  <c r="K5" i="12"/>
  <c r="K7" i="12" s="1"/>
  <c r="L3" i="12"/>
  <c r="L4" i="5"/>
  <c r="J10" i="5"/>
  <c r="J11" i="5" s="1"/>
  <c r="K6" i="5"/>
  <c r="K8" i="5" s="1"/>
  <c r="I7" i="8"/>
  <c r="I8" i="16"/>
  <c r="I8" i="17"/>
  <c r="I8" i="18"/>
  <c r="J13" i="4"/>
  <c r="I6" i="18"/>
  <c r="I6" i="16"/>
  <c r="J7" i="4"/>
  <c r="I6" i="17"/>
  <c r="J13" i="3"/>
  <c r="I7" i="7"/>
  <c r="I2" i="6"/>
  <c r="I16" i="2"/>
  <c r="H15" i="2"/>
  <c r="H3" i="6"/>
  <c r="H5" i="6" s="1"/>
  <c r="H6" i="6" s="1"/>
  <c r="H2" i="8"/>
  <c r="H16" i="4"/>
  <c r="H7" i="6"/>
  <c r="I13" i="2"/>
  <c r="K3" i="10"/>
  <c r="J5" i="10"/>
  <c r="J7" i="10" s="1"/>
  <c r="H14" i="5"/>
  <c r="J6" i="2"/>
  <c r="J8" i="2" s="1"/>
  <c r="I10" i="2"/>
  <c r="I11" i="2" s="1"/>
  <c r="I14" i="2" s="1"/>
  <c r="K4" i="2"/>
  <c r="I16" i="5"/>
  <c r="J2" i="9"/>
  <c r="E28" i="15" l="1"/>
  <c r="E29" i="15" s="1"/>
  <c r="E30" i="15"/>
  <c r="G3" i="7"/>
  <c r="G5" i="7" s="1"/>
  <c r="G6" i="7" s="1"/>
  <c r="G8" i="7" s="1"/>
  <c r="G15" i="3"/>
  <c r="G16" i="3"/>
  <c r="H10" i="3"/>
  <c r="J4" i="3"/>
  <c r="I6" i="3"/>
  <c r="I8" i="3" s="1"/>
  <c r="I2" i="7" s="1"/>
  <c r="H2" i="7"/>
  <c r="H11" i="3"/>
  <c r="H14" i="3" s="1"/>
  <c r="H6" i="8"/>
  <c r="H8" i="8" s="1"/>
  <c r="H11" i="4"/>
  <c r="H14" i="4" s="1"/>
  <c r="H8" i="6"/>
  <c r="I3" i="8"/>
  <c r="I5" i="8" s="1"/>
  <c r="F24" i="13"/>
  <c r="F26" i="13" s="1"/>
  <c r="F27" i="13" s="1"/>
  <c r="F28" i="13" s="1"/>
  <c r="F29" i="13" s="1"/>
  <c r="F24" i="15"/>
  <c r="F26" i="15" s="1"/>
  <c r="F27" i="15" s="1"/>
  <c r="F28" i="15" s="1"/>
  <c r="F29" i="15" s="1"/>
  <c r="F24" i="14"/>
  <c r="F26" i="14" s="1"/>
  <c r="F27" i="14" s="1"/>
  <c r="F28" i="14" s="1"/>
  <c r="F29" i="14" s="1"/>
  <c r="L5" i="12"/>
  <c r="L7" i="12" s="1"/>
  <c r="B16" i="12" s="1"/>
  <c r="B13" i="12"/>
  <c r="B14" i="12" s="1"/>
  <c r="B15" i="12" s="1"/>
  <c r="E30" i="14"/>
  <c r="K10" i="5"/>
  <c r="K11" i="5" s="1"/>
  <c r="M4" i="5"/>
  <c r="L6" i="5"/>
  <c r="L8" i="5" s="1"/>
  <c r="L3" i="10"/>
  <c r="K5" i="10"/>
  <c r="K7" i="10" s="1"/>
  <c r="K13" i="3"/>
  <c r="J7" i="7"/>
  <c r="K5" i="11"/>
  <c r="K7" i="11" s="1"/>
  <c r="L3" i="11"/>
  <c r="K4" i="4"/>
  <c r="J2" i="18"/>
  <c r="J4" i="18" s="1"/>
  <c r="J6" i="4"/>
  <c r="J8" i="4" s="1"/>
  <c r="I10" i="4"/>
  <c r="I15" i="4" s="1"/>
  <c r="J2" i="17"/>
  <c r="J4" i="17" s="1"/>
  <c r="J7" i="17" s="1"/>
  <c r="J2" i="16"/>
  <c r="J4" i="16" s="1"/>
  <c r="I7" i="17"/>
  <c r="I9" i="17" s="1"/>
  <c r="J13" i="5"/>
  <c r="J14" i="5" s="1"/>
  <c r="I7" i="9"/>
  <c r="J8" i="16"/>
  <c r="J8" i="17"/>
  <c r="J7" i="8"/>
  <c r="J8" i="18"/>
  <c r="K13" i="4"/>
  <c r="I2" i="8"/>
  <c r="I16" i="4"/>
  <c r="I7" i="6"/>
  <c r="J13" i="2"/>
  <c r="E30" i="13"/>
  <c r="K2" i="9"/>
  <c r="J3" i="9"/>
  <c r="J5" i="9" s="1"/>
  <c r="J6" i="9" s="1"/>
  <c r="J15" i="5"/>
  <c r="I8" i="9"/>
  <c r="J6" i="16"/>
  <c r="J6" i="18"/>
  <c r="K7" i="4"/>
  <c r="J6" i="17"/>
  <c r="I7" i="16"/>
  <c r="I9" i="16" s="1"/>
  <c r="J10" i="2"/>
  <c r="L4" i="2"/>
  <c r="K6" i="2"/>
  <c r="K8" i="2" s="1"/>
  <c r="J2" i="6"/>
  <c r="J11" i="2"/>
  <c r="J14" i="2" s="1"/>
  <c r="I3" i="6"/>
  <c r="I5" i="6" s="1"/>
  <c r="I6" i="6" s="1"/>
  <c r="I8" i="6" s="1"/>
  <c r="I15" i="2"/>
  <c r="G23" i="14"/>
  <c r="G23" i="13"/>
  <c r="G14" i="4"/>
  <c r="G23" i="15"/>
  <c r="I14" i="5"/>
  <c r="F30" i="13" l="1"/>
  <c r="J9" i="17"/>
  <c r="H16" i="3"/>
  <c r="H15" i="3"/>
  <c r="H3" i="7"/>
  <c r="H5" i="7" s="1"/>
  <c r="H6" i="7" s="1"/>
  <c r="H8" i="7" s="1"/>
  <c r="I10" i="3"/>
  <c r="I11" i="3" s="1"/>
  <c r="I14" i="3" s="1"/>
  <c r="J6" i="3"/>
  <c r="J8" i="3" s="1"/>
  <c r="J2" i="7" s="1"/>
  <c r="K4" i="3"/>
  <c r="I6" i="8"/>
  <c r="I8" i="8" s="1"/>
  <c r="J7" i="18"/>
  <c r="J9" i="18" s="1"/>
  <c r="G24" i="15"/>
  <c r="G26" i="15" s="1"/>
  <c r="G27" i="15" s="1"/>
  <c r="G28" i="15" s="1"/>
  <c r="G29" i="15" s="1"/>
  <c r="G24" i="13"/>
  <c r="G26" i="13" s="1"/>
  <c r="G27" i="13" s="1"/>
  <c r="J3" i="8"/>
  <c r="J5" i="8" s="1"/>
  <c r="G24" i="14"/>
  <c r="G26" i="14" s="1"/>
  <c r="G27" i="14" s="1"/>
  <c r="G28" i="14" s="1"/>
  <c r="G29" i="14" s="1"/>
  <c r="L10" i="5"/>
  <c r="L11" i="5" s="1"/>
  <c r="M6" i="5"/>
  <c r="M8" i="5" s="1"/>
  <c r="K3" i="9"/>
  <c r="K5" i="9" s="1"/>
  <c r="K6" i="9" s="1"/>
  <c r="K15" i="5"/>
  <c r="J15" i="2"/>
  <c r="K16" i="2" s="1"/>
  <c r="J3" i="6"/>
  <c r="J5" i="6" s="1"/>
  <c r="J6" i="6" s="1"/>
  <c r="J2" i="8"/>
  <c r="J16" i="4"/>
  <c r="K16" i="5"/>
  <c r="K2" i="16"/>
  <c r="K4" i="16" s="1"/>
  <c r="K7" i="16" s="1"/>
  <c r="K9" i="16" s="1"/>
  <c r="J10" i="4"/>
  <c r="J15" i="4" s="1"/>
  <c r="L4" i="4"/>
  <c r="K2" i="17"/>
  <c r="K4" i="17" s="1"/>
  <c r="K7" i="17" s="1"/>
  <c r="K9" i="17" s="1"/>
  <c r="K2" i="18"/>
  <c r="K4" i="18" s="1"/>
  <c r="K7" i="18" s="1"/>
  <c r="K9" i="18" s="1"/>
  <c r="K6" i="4"/>
  <c r="K8" i="4" s="1"/>
  <c r="J16" i="2"/>
  <c r="J7" i="6"/>
  <c r="K13" i="2"/>
  <c r="K13" i="5"/>
  <c r="J7" i="9"/>
  <c r="J8" i="9" s="1"/>
  <c r="J7" i="16"/>
  <c r="J9" i="16" s="1"/>
  <c r="F30" i="14"/>
  <c r="B17" i="12"/>
  <c r="L6" i="2"/>
  <c r="L8" i="2" s="1"/>
  <c r="K10" i="2"/>
  <c r="K11" i="2" s="1"/>
  <c r="K14" i="2" s="1"/>
  <c r="M4" i="2"/>
  <c r="I11" i="4"/>
  <c r="I14" i="4" s="1"/>
  <c r="L2" i="9"/>
  <c r="K8" i="16"/>
  <c r="K8" i="18"/>
  <c r="K8" i="17"/>
  <c r="L13" i="4"/>
  <c r="K7" i="8"/>
  <c r="K2" i="6"/>
  <c r="L5" i="11"/>
  <c r="L7" i="11" s="1"/>
  <c r="B16" i="11" s="1"/>
  <c r="B13" i="11"/>
  <c r="B14" i="11" s="1"/>
  <c r="B15" i="11" s="1"/>
  <c r="K7" i="7"/>
  <c r="L13" i="3"/>
  <c r="L7" i="7" s="1"/>
  <c r="K6" i="18"/>
  <c r="K6" i="16"/>
  <c r="K6" i="17"/>
  <c r="L7" i="4"/>
  <c r="F30" i="15"/>
  <c r="L5" i="10"/>
  <c r="L7" i="10" s="1"/>
  <c r="B16" i="10" s="1"/>
  <c r="B13" i="10"/>
  <c r="B14" i="10" s="1"/>
  <c r="B15" i="10" s="1"/>
  <c r="G28" i="13" l="1"/>
  <c r="G29" i="13" s="1"/>
  <c r="G30" i="13"/>
  <c r="J10" i="3"/>
  <c r="J11" i="3" s="1"/>
  <c r="J14" i="3" s="1"/>
  <c r="L4" i="3"/>
  <c r="K6" i="3"/>
  <c r="K8" i="3" s="1"/>
  <c r="I16" i="3"/>
  <c r="I3" i="7"/>
  <c r="I5" i="7" s="1"/>
  <c r="I6" i="7" s="1"/>
  <c r="I8" i="7" s="1"/>
  <c r="I15" i="3"/>
  <c r="K3" i="8"/>
  <c r="K5" i="8" s="1"/>
  <c r="L3" i="9"/>
  <c r="L5" i="9" s="1"/>
  <c r="L6" i="9" s="1"/>
  <c r="L8" i="9" s="1"/>
  <c r="L15" i="5"/>
  <c r="B15" i="9" s="1"/>
  <c r="G30" i="14"/>
  <c r="B33" i="14" s="1"/>
  <c r="B34" i="14" s="1"/>
  <c r="B35" i="14" s="1"/>
  <c r="B37" i="14" s="1"/>
  <c r="L2" i="6"/>
  <c r="L11" i="2"/>
  <c r="L14" i="2" s="1"/>
  <c r="B20" i="2" s="1"/>
  <c r="B11" i="9"/>
  <c r="M10" i="5"/>
  <c r="M11" i="5" s="1"/>
  <c r="B18" i="5" s="1"/>
  <c r="L8" i="18"/>
  <c r="L7" i="8"/>
  <c r="L8" i="16"/>
  <c r="L8" i="17"/>
  <c r="L13" i="5"/>
  <c r="L7" i="9" s="1"/>
  <c r="K7" i="9"/>
  <c r="K8" i="9" s="1"/>
  <c r="J11" i="4"/>
  <c r="J14" i="4" s="1"/>
  <c r="J6" i="8"/>
  <c r="J8" i="8" s="1"/>
  <c r="K15" i="2"/>
  <c r="K3" i="6"/>
  <c r="K5" i="6" s="1"/>
  <c r="K6" i="6" s="1"/>
  <c r="K8" i="6" s="1"/>
  <c r="M4" i="4"/>
  <c r="L2" i="17"/>
  <c r="L4" i="17" s="1"/>
  <c r="L2" i="16"/>
  <c r="L4" i="16" s="1"/>
  <c r="K10" i="4"/>
  <c r="K15" i="4" s="1"/>
  <c r="L2" i="18"/>
  <c r="L4" i="18" s="1"/>
  <c r="L6" i="4"/>
  <c r="L8" i="4" s="1"/>
  <c r="G30" i="15"/>
  <c r="B33" i="15" s="1"/>
  <c r="B34" i="15" s="1"/>
  <c r="B35" i="15" s="1"/>
  <c r="B37" i="15" s="1"/>
  <c r="L6" i="18"/>
  <c r="L6" i="16"/>
  <c r="L6" i="17"/>
  <c r="K14" i="5"/>
  <c r="J8" i="6"/>
  <c r="L10" i="2"/>
  <c r="M6" i="2"/>
  <c r="M8" i="2" s="1"/>
  <c r="K2" i="8"/>
  <c r="K6" i="8" s="1"/>
  <c r="K8" i="8" s="1"/>
  <c r="K11" i="4"/>
  <c r="K14" i="4" s="1"/>
  <c r="K16" i="4"/>
  <c r="B17" i="10"/>
  <c r="K7" i="6"/>
  <c r="L13" i="2"/>
  <c r="L7" i="6" s="1"/>
  <c r="L16" i="5"/>
  <c r="B17" i="11"/>
  <c r="J16" i="3" l="1"/>
  <c r="J3" i="7"/>
  <c r="J5" i="7" s="1"/>
  <c r="J6" i="7" s="1"/>
  <c r="J8" i="7" s="1"/>
  <c r="J15" i="3"/>
  <c r="K2" i="7"/>
  <c r="K16" i="3"/>
  <c r="B19" i="5"/>
  <c r="K10" i="3"/>
  <c r="K11" i="3" s="1"/>
  <c r="K14" i="3" s="1"/>
  <c r="M4" i="3"/>
  <c r="L6" i="3"/>
  <c r="L8" i="3" s="1"/>
  <c r="B33" i="13"/>
  <c r="B34" i="13" s="1"/>
  <c r="B35" i="13" s="1"/>
  <c r="B37" i="13" s="1"/>
  <c r="L3" i="8"/>
  <c r="L5" i="8" s="1"/>
  <c r="L10" i="4"/>
  <c r="L15" i="4" s="1"/>
  <c r="B15" i="8" s="1"/>
  <c r="M6" i="4"/>
  <c r="M8" i="4" s="1"/>
  <c r="L15" i="2"/>
  <c r="B15" i="6" s="1"/>
  <c r="L3" i="6"/>
  <c r="L5" i="6" s="1"/>
  <c r="L6" i="6" s="1"/>
  <c r="L8" i="6" s="1"/>
  <c r="B10" i="6" s="1"/>
  <c r="L16" i="2"/>
  <c r="L7" i="17"/>
  <c r="L9" i="17" s="1"/>
  <c r="B16" i="17" s="1"/>
  <c r="B14" i="17"/>
  <c r="B15" i="17" s="1"/>
  <c r="B11" i="6"/>
  <c r="M10" i="2"/>
  <c r="M11" i="2" s="1"/>
  <c r="B18" i="2" s="1"/>
  <c r="B19" i="2" s="1"/>
  <c r="L2" i="8"/>
  <c r="L16" i="4"/>
  <c r="B16" i="9"/>
  <c r="B17" i="9"/>
  <c r="B10" i="9"/>
  <c r="L14" i="5"/>
  <c r="B20" i="5" s="1"/>
  <c r="B14" i="18"/>
  <c r="B15" i="18" s="1"/>
  <c r="L7" i="18"/>
  <c r="L9" i="18" s="1"/>
  <c r="B16" i="18" s="1"/>
  <c r="B14" i="16"/>
  <c r="B15" i="16" s="1"/>
  <c r="L7" i="16"/>
  <c r="L9" i="16" s="1"/>
  <c r="B16" i="16" s="1"/>
  <c r="B17" i="16" s="1"/>
  <c r="B19" i="16" s="1"/>
  <c r="L6" i="8" l="1"/>
  <c r="L8" i="8" s="1"/>
  <c r="B10" i="8" s="1"/>
  <c r="L10" i="3"/>
  <c r="M6" i="3"/>
  <c r="M8" i="3" s="1"/>
  <c r="B21" i="5"/>
  <c r="L11" i="4"/>
  <c r="L14" i="4" s="1"/>
  <c r="B20" i="4" s="1"/>
  <c r="L2" i="7"/>
  <c r="L11" i="3"/>
  <c r="L14" i="3" s="1"/>
  <c r="B20" i="3" s="1"/>
  <c r="B17" i="18"/>
  <c r="B19" i="18" s="1"/>
  <c r="K3" i="7"/>
  <c r="K5" i="7" s="1"/>
  <c r="K6" i="7" s="1"/>
  <c r="K8" i="7" s="1"/>
  <c r="K15" i="3"/>
  <c r="B21" i="2"/>
  <c r="B21" i="9"/>
  <c r="B26" i="5"/>
  <c r="B28" i="5" s="1"/>
  <c r="B30" i="5" s="1"/>
  <c r="B31" i="5"/>
  <c r="B17" i="17"/>
  <c r="B19" i="17" s="1"/>
  <c r="B17" i="6"/>
  <c r="B16" i="6"/>
  <c r="B18" i="6" s="1"/>
  <c r="B19" i="6" s="1"/>
  <c r="B20" i="6" s="1"/>
  <c r="B18" i="9"/>
  <c r="B19" i="9" s="1"/>
  <c r="B20" i="9" s="1"/>
  <c r="B11" i="8"/>
  <c r="M10" i="4"/>
  <c r="M11" i="4" s="1"/>
  <c r="B18" i="4" s="1"/>
  <c r="B19" i="4" s="1"/>
  <c r="L16" i="3" l="1"/>
  <c r="L15" i="3"/>
  <c r="B15" i="7" s="1"/>
  <c r="L3" i="7"/>
  <c r="L5" i="7" s="1"/>
  <c r="L6" i="7" s="1"/>
  <c r="L8" i="7" s="1"/>
  <c r="B10" i="7" s="1"/>
  <c r="B11" i="7"/>
  <c r="M10" i="3"/>
  <c r="M11" i="3" s="1"/>
  <c r="B18" i="3" s="1"/>
  <c r="B19" i="3" s="1"/>
  <c r="B22" i="9"/>
  <c r="B21" i="4"/>
  <c r="B31" i="4"/>
  <c r="B17" i="8"/>
  <c r="B16" i="8"/>
  <c r="B26" i="2"/>
  <c r="B28" i="2" s="1"/>
  <c r="B30" i="2" s="1"/>
  <c r="B21" i="6"/>
  <c r="B22" i="6" s="1"/>
  <c r="B31" i="2"/>
  <c r="B21" i="3" l="1"/>
  <c r="B16" i="7"/>
  <c r="B17" i="7"/>
  <c r="B18" i="8"/>
  <c r="B19" i="8" s="1"/>
  <c r="B20" i="8" s="1"/>
  <c r="B21" i="8"/>
  <c r="B26" i="4"/>
  <c r="B28" i="4" s="1"/>
  <c r="B30" i="4" s="1"/>
  <c r="B18" i="7" l="1"/>
  <c r="B19" i="7" s="1"/>
  <c r="B20" i="7" s="1"/>
  <c r="B26" i="3"/>
  <c r="B28" i="3" s="1"/>
  <c r="B30" i="3" s="1"/>
  <c r="B21" i="7"/>
  <c r="B22" i="7" s="1"/>
  <c r="B31" i="3"/>
  <c r="B20" i="17"/>
  <c r="B21" i="17" s="1"/>
  <c r="B20" i="18"/>
  <c r="B21" i="18" s="1"/>
  <c r="B20" i="16"/>
  <c r="B21" i="16" s="1"/>
  <c r="B22" i="8"/>
</calcChain>
</file>

<file path=xl/sharedStrings.xml><?xml version="1.0" encoding="utf-8"?>
<sst xmlns="http://schemas.openxmlformats.org/spreadsheetml/2006/main" count="694" uniqueCount="204">
  <si>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</si>
  <si>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</si>
  <si>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</si>
  <si>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</si>
  <si>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</si>
  <si>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</si>
  <si>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</si>
  <si>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</si>
  <si>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</si>
  <si>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</si>
  <si>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</si>
  <si>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</si>
  <si>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</si>
  <si>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</si>
  <si>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</si>
  <si>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</si>
  <si>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</si>
  <si>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</si>
  <si>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</si>
  <si>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</si>
  <si>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</si>
  <si>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</si>
  <si>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</si>
  <si>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</si>
  <si>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</si>
  <si>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</si>
  <si>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</si>
  <si>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</si>
  <si>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</si>
  <si>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</si>
  <si>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</si>
  <si>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</si>
  <si>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</si>
  <si>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</si>
  <si>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</si>
  <si>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</si>
  <si>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</si>
  <si>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</si>
  <si>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</si>
  <si>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</si>
  <si>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</si>
  <si>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</si>
  <si>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</si>
  <si>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</si>
  <si>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</si>
  <si>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</si>
  <si>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</si>
  <si>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</si>
  <si>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</si>
  <si>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</si>
  <si>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</si>
  <si>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</si>
  <si>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</si>
  <si>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</si>
  <si>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</si>
  <si>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</si>
  <si>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</si>
  <si>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</si>
  <si>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</si>
  <si>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</si>
  <si>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</si>
  <si>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</si>
  <si>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</si>
  <si>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</si>
  <si>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</si>
  <si>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</si>
  <si>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</si>
  <si>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</si>
  <si>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</si>
  <si>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</si>
  <si>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</si>
  <si>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</si>
  <si>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</si>
  <si>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</si>
  <si>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</si>
  <si>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</si>
  <si>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</si>
  <si>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</si>
  <si>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</si>
  <si>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</si>
  <si>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</si>
  <si>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</si>
  <si>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</si>
  <si>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</si>
  <si>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</si>
  <si>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</si>
  <si>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</si>
  <si>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</si>
  <si>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</si>
  <si>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</si>
  <si>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</si>
  <si>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</si>
  <si>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</si>
  <si>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</si>
  <si>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</si>
  <si>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</si>
  <si>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</si>
  <si>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</si>
  <si>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</si>
  <si>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</si>
  <si>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</si>
  <si>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</si>
  <si>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</si>
  <si>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</si>
  <si>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</si>
  <si>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</si>
  <si>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</si>
  <si>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</si>
  <si>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</si>
  <si>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</si>
  <si>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</si>
  <si>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</si>
  <si>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</si>
  <si>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</si>
  <si>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</si>
  <si>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</si>
  <si>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</si>
  <si>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Total uses</t>
  </si>
  <si>
    <t>Excess cash used</t>
  </si>
  <si>
    <t>Sponsor equity</t>
  </si>
  <si>
    <t>EBITDA (reported basis)</t>
  </si>
  <si>
    <t>FCFF before financing (DCF Base)</t>
  </si>
  <si>
    <t>Interest</t>
  </si>
  <si>
    <t>After-tax interest</t>
  </si>
  <si>
    <t>Cash flow after interest</t>
  </si>
  <si>
    <t>Debt repaid</t>
  </si>
  <si>
    <t>Debt, end of year</t>
  </si>
  <si>
    <t>Cash, end of year</t>
  </si>
  <si>
    <t>Exit EV / EBITDA</t>
  </si>
  <si>
    <t>Exit enterprise value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</si>
  <si>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</si>
  <si>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</si>
  <si>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</si>
  <si>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</si>
  <si>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</si>
  <si>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</si>
  <si>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</si>
  <si>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</si>
  <si>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</si>
  <si>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</si>
  <si>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</si>
  <si>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</si>
  <si>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</si>
  <si>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</si>
  <si>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</si>
  <si>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</si>
  <si>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</si>
  <si>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</si>
  <si>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</si>
  <si>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</si>
  <si>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</si>
  <si>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</si>
  <si>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</si>
  <si>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</si>
  <si>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</si>
  <si>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</si>
  <si>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</si>
  <si>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</si>
  <si>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</si>
  <si>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</si>
  <si>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</si>
  <si>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</si>
  <si>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</si>
  <si>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</si>
  <si>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</si>
  <si>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</si>
  <si>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</si>
  <si>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</si>
  <si>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</si>
  <si>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</si>
  <si>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</si>
  <si>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</si>
  <si>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</si>
  <si>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</si>
  <si>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</si>
  <si>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</si>
  <si>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</si>
  <si>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</si>
  <si>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</si>
  <si>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</si>
  <si>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</si>
  <si>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2018-11-15</t>
  </si>
  <si>
    <t>2017-04-05</t>
  </si>
  <si>
    <t>2017-07-17</t>
  </si>
  <si>
    <t>2022-08-01</t>
  </si>
  <si>
    <t>2021-11-29</t>
  </si>
  <si>
    <t>2015-04-08</t>
  </si>
  <si>
    <t>2015-04-28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</si>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</sst>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/>
  </sheetViews>
  <sheetFormatPr defaultRowHeight="14.5" x14ac:dyDescent="0.35"/>
  <sheetData>
    <row r="1" spans="1:5" x14ac:dyDescent="0.35">
      <c r="A1" s="1"/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5">
      <c r="A2" s="1" t="s">
        <v>4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5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6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7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8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9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10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12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13</v>
      </c>
      <c r="B11">
        <v>0.05</v>
      </c>
      <c r="C11">
        <v>1.6153616619756891E-2</v>
      </c>
      <c r="D11">
        <v>3.6315394727291839E-2</v>
      </c>
      <c r="E11">
        <v>5.6477172834826561E-2</v>
      </c>
    </row>
    <row r="12" spans="1:5" x14ac:dyDescent="0.35">
      <c r="A12" s="1" t="s">
        <v>14</v>
      </c>
      <c r="B12">
        <v>0.05</v>
      </c>
      <c r="C12">
        <v>3.2465449091496852E-2</v>
      </c>
      <c r="D12">
        <v>5.8096824069499453E-2</v>
      </c>
      <c r="E12">
        <v>7.9772924907641762E-2</v>
      </c>
    </row>
    <row r="13" spans="1:5" x14ac:dyDescent="0.35">
      <c r="A13" s="1" t="s">
        <v>15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16</v>
      </c>
      <c r="B14">
        <v>0.17106811723939561</v>
      </c>
      <c r="C14">
        <v>0.16708994708994709</v>
      </c>
      <c r="D14">
        <v>0.1692866407263294</v>
      </c>
      <c r="E14">
        <v>0.17139949109414759</v>
      </c>
    </row>
    <row r="15" spans="1:5" x14ac:dyDescent="0.35">
      <c r="A15" s="1" t="s">
        <v>17</v>
      </c>
      <c r="B15">
        <v>0.17106811723939561</v>
      </c>
      <c r="C15">
        <v>0.16708994708994709</v>
      </c>
      <c r="D15">
        <v>0.18</v>
      </c>
      <c r="E15">
        <v>0.2</v>
      </c>
    </row>
    <row r="16" spans="1:5" x14ac:dyDescent="0.35">
      <c r="A16" s="1" t="s">
        <v>18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19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20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21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22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23</v>
      </c>
      <c r="B21">
        <v>0.09</v>
      </c>
      <c r="C21">
        <v>7.7020829652970399E-2</v>
      </c>
      <c r="D21">
        <v>7.4013719318297547E-2</v>
      </c>
      <c r="E21">
        <v>6.5810140994131863E-2</v>
      </c>
    </row>
    <row r="22" spans="1:5" x14ac:dyDescent="0.35">
      <c r="A22" s="1" t="s">
        <v>24</v>
      </c>
      <c r="B22">
        <v>0.08</v>
      </c>
      <c r="C22">
        <v>8.3213376346411877E-2</v>
      </c>
      <c r="D22">
        <v>7.4013719318297547E-2</v>
      </c>
      <c r="E22">
        <v>6.5810140994131863E-2</v>
      </c>
    </row>
    <row r="23" spans="1:5" x14ac:dyDescent="0.35">
      <c r="A23" s="1" t="s">
        <v>25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26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41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42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43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44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45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46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47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48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49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50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51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52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53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54</v>
      </c>
      <c r="B17">
        <f>IF('Scenario inputs'!B23=1,'Scenario inputs'!B24,L12)</f>
        <v>7.9999999999999988E-2</v>
      </c>
    </row>
    <row r="18" spans="1:2" x14ac:dyDescent="0.35">
      <c r="A18" s="1" t="s">
        <v>55</v>
      </c>
      <c r="B18">
        <f>M11/(M12-M3)</f>
        <v>1544.6957961387277</v>
      </c>
    </row>
    <row r="19" spans="1:2" x14ac:dyDescent="0.35">
      <c r="A19" s="1" t="s">
        <v>56</v>
      </c>
      <c r="B19">
        <f>B18*L13</f>
        <v>670.76664098261631</v>
      </c>
    </row>
    <row r="20" spans="1:2" x14ac:dyDescent="0.35">
      <c r="A20" s="1" t="s">
        <v>57</v>
      </c>
      <c r="B20">
        <f>SUM(C14:L14)</f>
        <v>559.8745252049722</v>
      </c>
    </row>
    <row r="21" spans="1:2" x14ac:dyDescent="0.35">
      <c r="A21" s="1" t="s">
        <v>58</v>
      </c>
      <c r="B21">
        <f>B19+B20</f>
        <v>1230.6411661875886</v>
      </c>
    </row>
    <row r="22" spans="1:2" x14ac:dyDescent="0.35">
      <c r="A22" s="1" t="s">
        <v>59</v>
      </c>
      <c r="B22">
        <f>'Scenario inputs'!B5</f>
        <v>86.995000000000005</v>
      </c>
    </row>
    <row r="23" spans="1:2" x14ac:dyDescent="0.35">
      <c r="A23" s="1" t="s">
        <v>60</v>
      </c>
      <c r="B23">
        <f>'Scenario inputs'!B6</f>
        <v>58.13</v>
      </c>
    </row>
    <row r="24" spans="1:2" x14ac:dyDescent="0.35">
      <c r="A24" s="1" t="s">
        <v>61</v>
      </c>
      <c r="B24">
        <f>'Scenario inputs'!B7</f>
        <v>0</v>
      </c>
    </row>
    <row r="25" spans="1:2" x14ac:dyDescent="0.35">
      <c r="A25" s="1" t="s">
        <v>62</v>
      </c>
      <c r="B25">
        <f>'Scenario inputs'!B8</f>
        <v>0</v>
      </c>
    </row>
    <row r="26" spans="1:2" x14ac:dyDescent="0.35">
      <c r="A26" s="1" t="s">
        <v>63</v>
      </c>
      <c r="B26">
        <f>B21-B22-B24+B23+B25</f>
        <v>1201.7761661875888</v>
      </c>
    </row>
    <row r="27" spans="1:2" x14ac:dyDescent="0.35">
      <c r="A27" s="1" t="s">
        <v>64</v>
      </c>
      <c r="B27">
        <f>'Scenario inputs'!B9</f>
        <v>0</v>
      </c>
    </row>
    <row r="28" spans="1:2" x14ac:dyDescent="0.35">
      <c r="A28" s="1" t="s">
        <v>65</v>
      </c>
      <c r="B28">
        <f>B26-B27</f>
        <v>1201.7761661875888</v>
      </c>
    </row>
    <row r="29" spans="1:2" x14ac:dyDescent="0.35">
      <c r="A29" s="1" t="s">
        <v>66</v>
      </c>
      <c r="B29">
        <f>'Scenario inputs'!B10</f>
        <v>13.633262999999999</v>
      </c>
    </row>
    <row r="30" spans="1:2" x14ac:dyDescent="0.35">
      <c r="A30" s="1" t="s">
        <v>67</v>
      </c>
      <c r="B30">
        <f>B28/B29</f>
        <v>88.150295801349159</v>
      </c>
    </row>
    <row r="31" spans="1:2" x14ac:dyDescent="0.35">
      <c r="A31" s="1" t="s">
        <v>68</v>
      </c>
      <c r="B31">
        <f>B19/B21</f>
        <v>0.54505461007824785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inputs'!C11</f>
        <v>1.6153616619756891E-2</v>
      </c>
      <c r="D3">
        <f>'Scenario inputs'!C12</f>
        <v>3.2465449091496852E-2</v>
      </c>
      <c r="E3">
        <f>'Scenario inputs'!C12</f>
        <v>3.2465449091496852E-2</v>
      </c>
      <c r="F3">
        <f>'Scenario inputs'!C12</f>
        <v>3.2465449091496852E-2</v>
      </c>
      <c r="G3">
        <f>'Scenario inputs'!C12</f>
        <v>3.2465449091496852E-2</v>
      </c>
      <c r="H3">
        <f>G3-((G3-M3)/5)*1</f>
        <v>2.9972359273197482E-2</v>
      </c>
      <c r="I3">
        <f>G3-((G3-M3)/5)*2</f>
        <v>2.7479269454898113E-2</v>
      </c>
      <c r="J3">
        <f>G3-((G3-M3)/5)*3</f>
        <v>2.498617963659874E-2</v>
      </c>
      <c r="K3">
        <f>G3-((G3-M3)/5)*4</f>
        <v>2.249308981829937E-2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41</v>
      </c>
      <c r="B4">
        <f>'Scenario inputs'!C2</f>
        <v>619.98500000000001</v>
      </c>
      <c r="C4">
        <f t="shared" ref="C4:M4" si="0">B4*(1+C3)</f>
        <v>630</v>
      </c>
      <c r="D4">
        <f t="shared" si="0"/>
        <v>650.45323292764306</v>
      </c>
      <c r="E4">
        <f t="shared" si="0"/>
        <v>671.57048924765502</v>
      </c>
      <c r="F4">
        <f t="shared" si="0"/>
        <v>693.37332677767643</v>
      </c>
      <c r="G4">
        <f t="shared" si="0"/>
        <v>715.88400321957886</v>
      </c>
      <c r="H4">
        <f t="shared" si="0"/>
        <v>737.34073576201092</v>
      </c>
      <c r="I4">
        <f t="shared" si="0"/>
        <v>757.60232052008814</v>
      </c>
      <c r="J4">
        <f t="shared" si="0"/>
        <v>776.53190819370707</v>
      </c>
      <c r="K4">
        <f t="shared" si="0"/>
        <v>793.99851015148352</v>
      </c>
      <c r="L4">
        <f t="shared" si="0"/>
        <v>809.87848035451316</v>
      </c>
      <c r="M4">
        <f t="shared" si="0"/>
        <v>826.07604996160342</v>
      </c>
    </row>
    <row r="5" spans="1:13" x14ac:dyDescent="0.35">
      <c r="A5" s="1" t="s">
        <v>42</v>
      </c>
      <c r="B5">
        <f>B6/B4</f>
        <v>0.17106811723939563</v>
      </c>
      <c r="C5">
        <f>'Scenario inputs'!C14</f>
        <v>0.16708994708994709</v>
      </c>
      <c r="D5">
        <f>IF(D2&gt;'Scenario inputs'!C16,'Scenario inputs'!C15,'Scenario inputs'!C15-(('Scenario inputs'!C15-C5)/'Scenario inputs'!C16)*('Scenario inputs'!C16-D2))</f>
        <v>0.16708994708994709</v>
      </c>
      <c r="E5">
        <f>IF(E2&gt;'Scenario inputs'!C16,'Scenario inputs'!C15,'Scenario inputs'!C15-(('Scenario inputs'!C15-C5)/'Scenario inputs'!C16)*('Scenario inputs'!C16-E2))</f>
        <v>0.16708994708994709</v>
      </c>
      <c r="F5">
        <f>IF(F2&gt;'Scenario inputs'!C16,'Scenario inputs'!C15,'Scenario inputs'!C15-(('Scenario inputs'!C15-C5)/'Scenario inputs'!C16)*('Scenario inputs'!C16-F2))</f>
        <v>0.16708994708994709</v>
      </c>
      <c r="G5">
        <f>IF(G2&gt;'Scenario inputs'!C16,'Scenario inputs'!C15,'Scenario inputs'!C15-(('Scenario inputs'!C15-C5)/'Scenario inputs'!C16)*('Scenario inputs'!C16-G2))</f>
        <v>0.16708994708994709</v>
      </c>
      <c r="H5">
        <f>IF(H2&gt;'Scenario inputs'!C16,'Scenario inputs'!C15,'Scenario inputs'!C15-(('Scenario inputs'!C15-C5)/'Scenario inputs'!C16)*('Scenario inputs'!C16-H2))</f>
        <v>0.16708994708994709</v>
      </c>
      <c r="I5">
        <f>IF(I2&gt;'Scenario inputs'!C16,'Scenario inputs'!C15,'Scenario inputs'!C15-(('Scenario inputs'!C15-C5)/'Scenario inputs'!C16)*('Scenario inputs'!C16-I2))</f>
        <v>0.16708994708994709</v>
      </c>
      <c r="J5">
        <f>IF(J2&gt;'Scenario inputs'!C16,'Scenario inputs'!C15,'Scenario inputs'!C15-(('Scenario inputs'!C15-C5)/'Scenario inputs'!C16)*('Scenario inputs'!C16-J2))</f>
        <v>0.16708994708994709</v>
      </c>
      <c r="K5">
        <f>IF(K2&gt;'Scenario inputs'!C16,'Scenario inputs'!C15,'Scenario inputs'!C15-(('Scenario inputs'!C15-C5)/'Scenario inputs'!C16)*('Scenario inputs'!C16-K2))</f>
        <v>0.16708994708994709</v>
      </c>
      <c r="L5">
        <f>IF(L2&gt;'Scenario inputs'!C16,'Scenario inputs'!C15,'Scenario inputs'!C15-(('Scenario inputs'!C15-C5)/'Scenario inputs'!C16)*('Scenario inputs'!C16-L2))</f>
        <v>0.16708994708994709</v>
      </c>
      <c r="M5">
        <f>(L5)</f>
        <v>0.16708994708994709</v>
      </c>
    </row>
    <row r="6" spans="1:13" x14ac:dyDescent="0.35">
      <c r="A6" s="1" t="s">
        <v>43</v>
      </c>
      <c r="B6">
        <f>'Scenario inputs'!C3</f>
        <v>106.0596666666667</v>
      </c>
      <c r="C6">
        <f t="shared" ref="C6:M6" si="1">C5*C4</f>
        <v>105.26666666666667</v>
      </c>
      <c r="D6">
        <f t="shared" si="1"/>
        <v>108.68419627436491</v>
      </c>
      <c r="E6">
        <f t="shared" si="1"/>
        <v>112.21267751556056</v>
      </c>
      <c r="F6">
        <f t="shared" si="1"/>
        <v>115.85571248486255</v>
      </c>
      <c r="G6">
        <f t="shared" si="1"/>
        <v>119.61702022049894</v>
      </c>
      <c r="H6">
        <f t="shared" si="1"/>
        <v>123.20222452573707</v>
      </c>
      <c r="I6">
        <f t="shared" si="1"/>
        <v>126.58773165092266</v>
      </c>
      <c r="J6">
        <f t="shared" si="1"/>
        <v>129.75067545374216</v>
      </c>
      <c r="K6">
        <f t="shared" si="1"/>
        <v>132.66916905070821</v>
      </c>
      <c r="L6">
        <f t="shared" si="1"/>
        <v>135.32255243172236</v>
      </c>
      <c r="M6">
        <f t="shared" si="1"/>
        <v>138.02900348035681</v>
      </c>
    </row>
    <row r="7" spans="1:13" x14ac:dyDescent="0.35">
      <c r="A7" s="1" t="s">
        <v>44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45</v>
      </c>
      <c r="B8">
        <f t="shared" ref="B8:L8" si="2">IF(B6&gt;0,B6*(1-B7),B6)</f>
        <v>81.135645000000025</v>
      </c>
      <c r="C8">
        <f t="shared" si="2"/>
        <v>80.528999999999996</v>
      </c>
      <c r="D8">
        <f t="shared" si="2"/>
        <v>83.143410149889149</v>
      </c>
      <c r="E8">
        <f t="shared" si="2"/>
        <v>85.842698299403821</v>
      </c>
      <c r="F8">
        <f t="shared" si="2"/>
        <v>88.629620050919854</v>
      </c>
      <c r="G8">
        <f t="shared" si="2"/>
        <v>91.507020468681688</v>
      </c>
      <c r="H8">
        <f t="shared" si="2"/>
        <v>93.88009508861164</v>
      </c>
      <c r="I8">
        <f t="shared" si="2"/>
        <v>96.080088323050305</v>
      </c>
      <c r="J8">
        <f t="shared" si="2"/>
        <v>98.091510643029068</v>
      </c>
      <c r="K8">
        <f t="shared" si="2"/>
        <v>99.899884295183284</v>
      </c>
      <c r="L8">
        <f t="shared" si="2"/>
        <v>101.49191432379178</v>
      </c>
      <c r="M8">
        <f>M6*(1-M7)</f>
        <v>103.52175261026761</v>
      </c>
    </row>
    <row r="9" spans="1:13" x14ac:dyDescent="0.35">
      <c r="A9" s="1" t="s">
        <v>46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47</v>
      </c>
      <c r="C10">
        <f t="shared" ref="C10:L10" si="3">(D4-C4)/C9</f>
        <v>10.226616463821529</v>
      </c>
      <c r="D10">
        <f t="shared" si="3"/>
        <v>10.558628160005981</v>
      </c>
      <c r="E10">
        <f t="shared" si="3"/>
        <v>10.901418765010703</v>
      </c>
      <c r="F10">
        <f t="shared" si="3"/>
        <v>11.255338220951216</v>
      </c>
      <c r="G10">
        <f t="shared" si="3"/>
        <v>10.728366271216032</v>
      </c>
      <c r="H10">
        <f t="shared" si="3"/>
        <v>10.13079237903861</v>
      </c>
      <c r="I10">
        <f t="shared" si="3"/>
        <v>9.4647938368094628</v>
      </c>
      <c r="J10">
        <f t="shared" si="3"/>
        <v>8.7333009788882237</v>
      </c>
      <c r="K10">
        <f t="shared" si="3"/>
        <v>7.9399851015148215</v>
      </c>
      <c r="L10">
        <f t="shared" si="3"/>
        <v>8.0987848035451293</v>
      </c>
      <c r="M10">
        <f>IF(M3&gt;0,(M3/B17)*M8,0)</f>
        <v>24.881036476470626</v>
      </c>
    </row>
    <row r="11" spans="1:13" x14ac:dyDescent="0.35">
      <c r="A11" s="1" t="s">
        <v>48</v>
      </c>
      <c r="C11">
        <f t="shared" ref="C11:M11" si="4">C8-C10</f>
        <v>70.302383536178468</v>
      </c>
      <c r="D11">
        <f t="shared" si="4"/>
        <v>72.584781989883169</v>
      </c>
      <c r="E11">
        <f t="shared" si="4"/>
        <v>74.941279534393118</v>
      </c>
      <c r="F11">
        <f t="shared" si="4"/>
        <v>77.374281829968638</v>
      </c>
      <c r="G11">
        <f t="shared" si="4"/>
        <v>80.778654197465656</v>
      </c>
      <c r="H11">
        <f t="shared" si="4"/>
        <v>83.74930270957303</v>
      </c>
      <c r="I11">
        <f t="shared" si="4"/>
        <v>86.615294486240842</v>
      </c>
      <c r="J11">
        <f t="shared" si="4"/>
        <v>89.358209664140844</v>
      </c>
      <c r="K11">
        <f t="shared" si="4"/>
        <v>91.959899193668463</v>
      </c>
      <c r="L11">
        <f t="shared" si="4"/>
        <v>93.393129520246646</v>
      </c>
      <c r="M11">
        <f t="shared" si="4"/>
        <v>78.640716133796985</v>
      </c>
    </row>
    <row r="12" spans="1:13" x14ac:dyDescent="0.35">
      <c r="A12" s="1" t="s">
        <v>49</v>
      </c>
      <c r="C12">
        <f>'Scenario inputs'!C21</f>
        <v>7.7020829652970399E-2</v>
      </c>
      <c r="D12">
        <f>'Scenario inputs'!C21</f>
        <v>7.7020829652970399E-2</v>
      </c>
      <c r="E12">
        <f>'Scenario inputs'!C21</f>
        <v>7.7020829652970399E-2</v>
      </c>
      <c r="F12">
        <f>'Scenario inputs'!C21</f>
        <v>7.7020829652970399E-2</v>
      </c>
      <c r="G12">
        <f>'Scenario inputs'!C21</f>
        <v>7.7020829652970399E-2</v>
      </c>
      <c r="H12">
        <f>G12-(G12-M12)/5</f>
        <v>7.8259338991658697E-2</v>
      </c>
      <c r="I12">
        <f>H12-(G12-M12)/5</f>
        <v>7.9497848330346996E-2</v>
      </c>
      <c r="J12">
        <f>I12-(G12-M12)/5</f>
        <v>8.0736357669035294E-2</v>
      </c>
      <c r="K12">
        <f>J12-(G12-M12)/5</f>
        <v>8.1974867007723592E-2</v>
      </c>
      <c r="L12">
        <f>K12-(G12-M12)/5</f>
        <v>8.3213376346411891E-2</v>
      </c>
      <c r="M12">
        <f>'Scenario inputs'!C22</f>
        <v>8.3213376346411877E-2</v>
      </c>
    </row>
    <row r="13" spans="1:13" x14ac:dyDescent="0.35">
      <c r="A13" s="1" t="s">
        <v>50</v>
      </c>
      <c r="C13">
        <f>1/(1+C12)</f>
        <v>0.92848714942886712</v>
      </c>
      <c r="D13">
        <f t="shared" ref="D13:L13" si="5">C13*(1/(1+D12))</f>
        <v>0.86208838665454346</v>
      </c>
      <c r="E13">
        <f t="shared" si="5"/>
        <v>0.80043798868060811</v>
      </c>
      <c r="F13">
        <f t="shared" si="5"/>
        <v>0.74319638640463359</v>
      </c>
      <c r="G13">
        <f t="shared" si="5"/>
        <v>0.69004829427867309</v>
      </c>
      <c r="H13">
        <f t="shared" si="5"/>
        <v>0.63996505230733858</v>
      </c>
      <c r="I13">
        <f t="shared" si="5"/>
        <v>0.59283587577054353</v>
      </c>
      <c r="J13">
        <f t="shared" si="5"/>
        <v>0.54854810015755351</v>
      </c>
      <c r="K13">
        <f t="shared" si="5"/>
        <v>0.50698783944455317</v>
      </c>
      <c r="L13">
        <f t="shared" si="5"/>
        <v>0.46804060078595117</v>
      </c>
    </row>
    <row r="14" spans="1:13" x14ac:dyDescent="0.35">
      <c r="A14" s="1" t="s">
        <v>51</v>
      </c>
      <c r="C14">
        <f t="shared" ref="C14:L14" si="6">C11*C13</f>
        <v>65.274859687561261</v>
      </c>
      <c r="D14">
        <f t="shared" si="6"/>
        <v>62.574497601330144</v>
      </c>
      <c r="E14">
        <f t="shared" si="6"/>
        <v>59.985847059660848</v>
      </c>
      <c r="F14">
        <f t="shared" si="6"/>
        <v>57.504286656686389</v>
      </c>
      <c r="G14">
        <f t="shared" si="6"/>
        <v>55.741172543087956</v>
      </c>
      <c r="H14">
        <f t="shared" si="6"/>
        <v>53.59662688923504</v>
      </c>
      <c r="I14">
        <f t="shared" si="6"/>
        <v>51.34865396187412</v>
      </c>
      <c r="J14">
        <f t="shared" si="6"/>
        <v>49.017276144744798</v>
      </c>
      <c r="K14">
        <f t="shared" si="6"/>
        <v>46.622550607736883</v>
      </c>
      <c r="L14">
        <f t="shared" si="6"/>
        <v>43.711776449936394</v>
      </c>
    </row>
    <row r="15" spans="1:13" x14ac:dyDescent="0.35">
      <c r="A15" s="1" t="s">
        <v>52</v>
      </c>
      <c r="B15">
        <f>'Scenario inputs'!C4</f>
        <v>313.43700000000001</v>
      </c>
      <c r="C15">
        <f t="shared" ref="C15:L15" si="7">B15+C10</f>
        <v>323.66361646382154</v>
      </c>
      <c r="D15">
        <f t="shared" si="7"/>
        <v>334.22224462382752</v>
      </c>
      <c r="E15">
        <f t="shared" si="7"/>
        <v>345.12366338883822</v>
      </c>
      <c r="F15">
        <f t="shared" si="7"/>
        <v>356.37900160978944</v>
      </c>
      <c r="G15">
        <f t="shared" si="7"/>
        <v>367.10736788100547</v>
      </c>
      <c r="H15">
        <f t="shared" si="7"/>
        <v>377.23816026004408</v>
      </c>
      <c r="I15">
        <f t="shared" si="7"/>
        <v>386.70295409685355</v>
      </c>
      <c r="J15">
        <f t="shared" si="7"/>
        <v>395.43625507574177</v>
      </c>
      <c r="K15">
        <f t="shared" si="7"/>
        <v>403.37624017725659</v>
      </c>
      <c r="L15">
        <f t="shared" si="7"/>
        <v>411.47502498080172</v>
      </c>
    </row>
    <row r="16" spans="1:13" x14ac:dyDescent="0.35">
      <c r="A16" s="1" t="s">
        <v>53</v>
      </c>
      <c r="B16">
        <f>B8/B15</f>
        <v>0.25885790445926937</v>
      </c>
      <c r="C16">
        <f t="shared" ref="C16:L16" si="8">C8/B15</f>
        <v>0.25692244374467593</v>
      </c>
      <c r="D16">
        <f t="shared" si="8"/>
        <v>0.25688216382882428</v>
      </c>
      <c r="E16">
        <f t="shared" si="8"/>
        <v>0.25684316253701528</v>
      </c>
      <c r="F16">
        <f t="shared" si="8"/>
        <v>0.25680539891309656</v>
      </c>
      <c r="G16">
        <f t="shared" si="8"/>
        <v>0.25676883333568457</v>
      </c>
      <c r="H16">
        <f t="shared" si="8"/>
        <v>0.2557292588010438</v>
      </c>
      <c r="I16">
        <f t="shared" si="8"/>
        <v>0.25469344950897538</v>
      </c>
      <c r="J16">
        <f t="shared" si="8"/>
        <v>0.25366113603171775</v>
      </c>
      <c r="K16">
        <f t="shared" si="8"/>
        <v>0.25263208168924339</v>
      </c>
      <c r="L16">
        <f t="shared" si="8"/>
        <v>0.25160607942399615</v>
      </c>
    </row>
    <row r="17" spans="1:2" x14ac:dyDescent="0.35">
      <c r="A17" s="1" t="s">
        <v>54</v>
      </c>
      <c r="B17">
        <f>IF('Scenario inputs'!C23=1,'Scenario inputs'!C24,L12)</f>
        <v>8.3213376346411891E-2</v>
      </c>
    </row>
    <row r="18" spans="1:2" x14ac:dyDescent="0.35">
      <c r="A18" s="1" t="s">
        <v>55</v>
      </c>
      <c r="B18">
        <f>M11/(M12-M3)</f>
        <v>1244.0518238235315</v>
      </c>
    </row>
    <row r="19" spans="1:2" x14ac:dyDescent="0.35">
      <c r="A19" s="1" t="s">
        <v>56</v>
      </c>
      <c r="B19">
        <f>B18*L13</f>
        <v>582.26676303122395</v>
      </c>
    </row>
    <row r="20" spans="1:2" x14ac:dyDescent="0.35">
      <c r="A20" s="1" t="s">
        <v>57</v>
      </c>
      <c r="B20">
        <f>SUM(C14:L14)</f>
        <v>545.37754760185385</v>
      </c>
    </row>
    <row r="21" spans="1:2" x14ac:dyDescent="0.35">
      <c r="A21" s="1" t="s">
        <v>58</v>
      </c>
      <c r="B21">
        <f>B19+B20</f>
        <v>1127.6443106330778</v>
      </c>
    </row>
    <row r="22" spans="1:2" x14ac:dyDescent="0.35">
      <c r="A22" s="1" t="s">
        <v>59</v>
      </c>
      <c r="B22">
        <f>'Scenario inputs'!C5</f>
        <v>86.995000000000005</v>
      </c>
    </row>
    <row r="23" spans="1:2" x14ac:dyDescent="0.35">
      <c r="A23" s="1" t="s">
        <v>60</v>
      </c>
      <c r="B23">
        <f>'Scenario inputs'!C6</f>
        <v>58.13</v>
      </c>
    </row>
    <row r="24" spans="1:2" x14ac:dyDescent="0.35">
      <c r="A24" s="1" t="s">
        <v>61</v>
      </c>
      <c r="B24">
        <f>'Scenario inputs'!C7</f>
        <v>0</v>
      </c>
    </row>
    <row r="25" spans="1:2" x14ac:dyDescent="0.35">
      <c r="A25" s="1" t="s">
        <v>62</v>
      </c>
      <c r="B25">
        <f>'Scenario inputs'!C8</f>
        <v>0</v>
      </c>
    </row>
    <row r="26" spans="1:2" x14ac:dyDescent="0.35">
      <c r="A26" s="1" t="s">
        <v>63</v>
      </c>
      <c r="B26">
        <f>B21-B22-B24+B23+B25</f>
        <v>1098.7793106330778</v>
      </c>
    </row>
    <row r="27" spans="1:2" x14ac:dyDescent="0.35">
      <c r="A27" s="1" t="s">
        <v>64</v>
      </c>
      <c r="B27">
        <f>'Scenario inputs'!C9</f>
        <v>0</v>
      </c>
    </row>
    <row r="28" spans="1:2" x14ac:dyDescent="0.35">
      <c r="A28" s="1" t="s">
        <v>65</v>
      </c>
      <c r="B28">
        <f>B26-B27</f>
        <v>1098.7793106330778</v>
      </c>
    </row>
    <row r="29" spans="1:2" x14ac:dyDescent="0.35">
      <c r="A29" s="1" t="s">
        <v>66</v>
      </c>
      <c r="B29">
        <f>'Scenario inputs'!C10</f>
        <v>13.633262999999999</v>
      </c>
    </row>
    <row r="30" spans="1:2" x14ac:dyDescent="0.35">
      <c r="A30" s="1" t="s">
        <v>67</v>
      </c>
      <c r="B30">
        <f>B28/B29</f>
        <v>80.595475245587053</v>
      </c>
    </row>
    <row r="31" spans="1:2" x14ac:dyDescent="0.35">
      <c r="A31" s="1" t="s">
        <v>68</v>
      </c>
      <c r="B31">
        <f>B19/B21</f>
        <v>0.51635676031951061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inputs'!D11</f>
        <v>3.6315394727291839E-2</v>
      </c>
      <c r="D3">
        <f>'Scenario inputs'!D12</f>
        <v>5.8096824069499453E-2</v>
      </c>
      <c r="E3">
        <f>'Scenario inputs'!D12</f>
        <v>5.8096824069499453E-2</v>
      </c>
      <c r="F3">
        <f>'Scenario inputs'!D12</f>
        <v>5.8096824069499453E-2</v>
      </c>
      <c r="G3">
        <f>'Scenario inputs'!D12</f>
        <v>5.8096824069499453E-2</v>
      </c>
      <c r="H3">
        <f>G3-((G3-M3)/5)*1</f>
        <v>5.1477459255599566E-2</v>
      </c>
      <c r="I3">
        <f>G3-((G3-M3)/5)*2</f>
        <v>4.4858094441699671E-2</v>
      </c>
      <c r="J3">
        <f>G3-((G3-M3)/5)*3</f>
        <v>3.8238729627799783E-2</v>
      </c>
      <c r="K3">
        <f>G3-((G3-M3)/5)*4</f>
        <v>3.1619364813899889E-2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41</v>
      </c>
      <c r="B4">
        <f>'Scenario inputs'!D2</f>
        <v>619.98500000000001</v>
      </c>
      <c r="C4">
        <f t="shared" ref="C4:M4" si="0">B4*(1+C3)</f>
        <v>642.5</v>
      </c>
      <c r="D4">
        <f t="shared" si="0"/>
        <v>679.82720946465338</v>
      </c>
      <c r="E4">
        <f t="shared" si="0"/>
        <v>719.32301125058007</v>
      </c>
      <c r="F4">
        <f t="shared" si="0"/>
        <v>761.11339368434756</v>
      </c>
      <c r="G4">
        <f t="shared" si="0"/>
        <v>805.33166461416681</v>
      </c>
      <c r="H4">
        <f t="shared" si="0"/>
        <v>846.78809256658678</v>
      </c>
      <c r="I4">
        <f t="shared" si="0"/>
        <v>884.77339279504542</v>
      </c>
      <c r="J4">
        <f t="shared" si="0"/>
        <v>918.60600334400624</v>
      </c>
      <c r="K4">
        <f t="shared" si="0"/>
        <v>947.6517416839788</v>
      </c>
      <c r="L4">
        <f t="shared" si="0"/>
        <v>971.3430352260782</v>
      </c>
      <c r="M4">
        <f t="shared" si="0"/>
        <v>995.62661110673002</v>
      </c>
    </row>
    <row r="5" spans="1:13" x14ac:dyDescent="0.35">
      <c r="A5" s="1" t="s">
        <v>42</v>
      </c>
      <c r="B5">
        <f>B6/B4</f>
        <v>0.17106811723939563</v>
      </c>
      <c r="C5">
        <f>'Scenario inputs'!D14</f>
        <v>0.1692866407263294</v>
      </c>
      <c r="D5">
        <f>IF(D2&gt;'Scenario inputs'!D16,'Scenario inputs'!D15,'Scenario inputs'!D15-(('Scenario inputs'!D15-C5)/'Scenario inputs'!D16)*('Scenario inputs'!D16-D2))</f>
        <v>0.17357198443579763</v>
      </c>
      <c r="E5">
        <f>IF(E2&gt;'Scenario inputs'!D16,'Scenario inputs'!D15,'Scenario inputs'!D15-(('Scenario inputs'!D15-C5)/'Scenario inputs'!D16)*('Scenario inputs'!D16-E2))</f>
        <v>0.17571465629053176</v>
      </c>
      <c r="F5">
        <f>IF(F2&gt;'Scenario inputs'!D16,'Scenario inputs'!D15,'Scenario inputs'!D15-(('Scenario inputs'!D15-C5)/'Scenario inputs'!D16)*('Scenario inputs'!D16-F2))</f>
        <v>0.17785732814526586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43</v>
      </c>
      <c r="B6">
        <f>'Scenario inputs'!D3</f>
        <v>106.0596666666667</v>
      </c>
      <c r="C6">
        <f t="shared" ref="C6:M6" si="1">C5*C4</f>
        <v>108.76666666666664</v>
      </c>
      <c r="D6">
        <f t="shared" si="1"/>
        <v>117.99895782023056</v>
      </c>
      <c r="E6">
        <f t="shared" si="1"/>
        <v>126.39559568376599</v>
      </c>
      <c r="F6">
        <f t="shared" si="1"/>
        <v>135.36959461627393</v>
      </c>
      <c r="G6">
        <f t="shared" si="1"/>
        <v>144.95969963055003</v>
      </c>
      <c r="H6">
        <f t="shared" si="1"/>
        <v>152.42185666198563</v>
      </c>
      <c r="I6">
        <f t="shared" si="1"/>
        <v>159.25921070310818</v>
      </c>
      <c r="J6">
        <f t="shared" si="1"/>
        <v>165.34908060192112</v>
      </c>
      <c r="K6">
        <f t="shared" si="1"/>
        <v>170.57731350311619</v>
      </c>
      <c r="L6">
        <f t="shared" si="1"/>
        <v>174.84174634069407</v>
      </c>
      <c r="M6">
        <f t="shared" si="1"/>
        <v>179.2127899992114</v>
      </c>
    </row>
    <row r="7" spans="1:13" x14ac:dyDescent="0.35">
      <c r="A7" s="1" t="s">
        <v>44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45</v>
      </c>
      <c r="B8">
        <f t="shared" ref="B8:L8" si="2">IF(B6&gt;0,B6*(1-B7),B6)</f>
        <v>81.66594333333336</v>
      </c>
      <c r="C8">
        <f t="shared" si="2"/>
        <v>83.750333333333316</v>
      </c>
      <c r="D8">
        <f t="shared" si="2"/>
        <v>90.859197521577528</v>
      </c>
      <c r="E8">
        <f t="shared" si="2"/>
        <v>97.324608676499821</v>
      </c>
      <c r="F8">
        <f t="shared" si="2"/>
        <v>104.23458785453093</v>
      </c>
      <c r="G8">
        <f t="shared" si="2"/>
        <v>111.61896871552352</v>
      </c>
      <c r="H8">
        <f t="shared" si="2"/>
        <v>116.75514220308099</v>
      </c>
      <c r="I8">
        <f t="shared" si="2"/>
        <v>121.35551855576844</v>
      </c>
      <c r="J8">
        <f t="shared" si="2"/>
        <v>125.3346030962562</v>
      </c>
      <c r="K8">
        <f t="shared" si="2"/>
        <v>128.6152943813496</v>
      </c>
      <c r="L8">
        <f t="shared" si="2"/>
        <v>131.13130975552056</v>
      </c>
      <c r="M8">
        <f>M6*(1-M7)</f>
        <v>134.40959249940855</v>
      </c>
    </row>
    <row r="9" spans="1:13" x14ac:dyDescent="0.35">
      <c r="A9" s="1" t="s">
        <v>46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47</v>
      </c>
      <c r="C10">
        <f t="shared" ref="C10:L10" si="3">(D4-C4)/C9</f>
        <v>18.663604732326689</v>
      </c>
      <c r="D10">
        <f t="shared" si="3"/>
        <v>19.747900892963344</v>
      </c>
      <c r="E10">
        <f t="shared" si="3"/>
        <v>20.895191216883745</v>
      </c>
      <c r="F10">
        <f t="shared" si="3"/>
        <v>22.109135464909627</v>
      </c>
      <c r="G10">
        <f t="shared" si="3"/>
        <v>20.728213976209986</v>
      </c>
      <c r="H10">
        <f t="shared" si="3"/>
        <v>18.99265011422932</v>
      </c>
      <c r="I10">
        <f t="shared" si="3"/>
        <v>16.916305274480408</v>
      </c>
      <c r="J10">
        <f t="shared" si="3"/>
        <v>14.522869169986279</v>
      </c>
      <c r="K10">
        <f t="shared" si="3"/>
        <v>11.845646771049701</v>
      </c>
      <c r="L10">
        <f t="shared" si="3"/>
        <v>12.141787940325912</v>
      </c>
      <c r="M10">
        <f>IF(M3&gt;0,(M3/B17)*M8,0)</f>
        <v>22.401598749901428</v>
      </c>
    </row>
    <row r="11" spans="1:13" x14ac:dyDescent="0.35">
      <c r="A11" s="1" t="s">
        <v>48</v>
      </c>
      <c r="C11">
        <f t="shared" ref="C11:M11" si="4">C8-C10</f>
        <v>65.086728601006627</v>
      </c>
      <c r="D11">
        <f t="shared" si="4"/>
        <v>71.111296628614184</v>
      </c>
      <c r="E11">
        <f t="shared" si="4"/>
        <v>76.429417459616076</v>
      </c>
      <c r="F11">
        <f t="shared" si="4"/>
        <v>82.125452389621302</v>
      </c>
      <c r="G11">
        <f t="shared" si="4"/>
        <v>90.890754739313536</v>
      </c>
      <c r="H11">
        <f t="shared" si="4"/>
        <v>97.762492088851673</v>
      </c>
      <c r="I11">
        <f t="shared" si="4"/>
        <v>104.43921328128803</v>
      </c>
      <c r="J11">
        <f t="shared" si="4"/>
        <v>110.81173392626992</v>
      </c>
      <c r="K11">
        <f t="shared" si="4"/>
        <v>116.7696476102999</v>
      </c>
      <c r="L11">
        <f t="shared" si="4"/>
        <v>118.98952181519465</v>
      </c>
      <c r="M11">
        <f t="shared" si="4"/>
        <v>112.00799374950712</v>
      </c>
    </row>
    <row r="12" spans="1:13" x14ac:dyDescent="0.35">
      <c r="A12" s="1" t="s">
        <v>49</v>
      </c>
      <c r="C12">
        <f>'Scenario inputs'!D21</f>
        <v>7.4013719318297547E-2</v>
      </c>
      <c r="D12">
        <f>'Scenario inputs'!D21</f>
        <v>7.4013719318297547E-2</v>
      </c>
      <c r="E12">
        <f>'Scenario inputs'!D21</f>
        <v>7.4013719318297547E-2</v>
      </c>
      <c r="F12">
        <f>'Scenario inputs'!D21</f>
        <v>7.4013719318297547E-2</v>
      </c>
      <c r="G12">
        <f>'Scenario inputs'!D21</f>
        <v>7.4013719318297547E-2</v>
      </c>
      <c r="H12">
        <f>G12-(G12-M12)/5</f>
        <v>7.4013719318297547E-2</v>
      </c>
      <c r="I12">
        <f>H12-(G12-M12)/5</f>
        <v>7.4013719318297547E-2</v>
      </c>
      <c r="J12">
        <f>I12-(G12-M12)/5</f>
        <v>7.4013719318297547E-2</v>
      </c>
      <c r="K12">
        <f>J12-(G12-M12)/5</f>
        <v>7.4013719318297547E-2</v>
      </c>
      <c r="L12">
        <f>K12-(G12-M12)/5</f>
        <v>7.4013719318297547E-2</v>
      </c>
      <c r="M12">
        <f>'Scenario inputs'!D22</f>
        <v>7.4013719318297547E-2</v>
      </c>
    </row>
    <row r="13" spans="1:13" x14ac:dyDescent="0.35">
      <c r="A13" s="1" t="s">
        <v>50</v>
      </c>
      <c r="C13">
        <f>1/(1+C12)</f>
        <v>0.9310868027223379</v>
      </c>
      <c r="D13">
        <f t="shared" ref="D13:L13" si="5">C13*(1/(1+D12))</f>
        <v>0.86692263420370574</v>
      </c>
      <c r="E13">
        <f t="shared" si="5"/>
        <v>0.80718022368835529</v>
      </c>
      <c r="F13">
        <f t="shared" si="5"/>
        <v>0.75155485369469222</v>
      </c>
      <c r="G13">
        <f t="shared" si="5"/>
        <v>0.69976280579704542</v>
      </c>
      <c r="H13">
        <f t="shared" si="5"/>
        <v>0.65153991351358331</v>
      </c>
      <c r="I13">
        <f t="shared" si="5"/>
        <v>0.60664021491935083</v>
      </c>
      <c r="J13">
        <f t="shared" si="5"/>
        <v>0.56483469811205023</v>
      </c>
      <c r="K13">
        <f t="shared" si="5"/>
        <v>0.52591013313178581</v>
      </c>
      <c r="L13">
        <f t="shared" si="5"/>
        <v>0.48966798437695352</v>
      </c>
    </row>
    <row r="14" spans="1:13" x14ac:dyDescent="0.35">
      <c r="A14" s="1" t="s">
        <v>51</v>
      </c>
      <c r="C14">
        <f t="shared" ref="C14:L14" si="6">C11*C13</f>
        <v>60.601394032767807</v>
      </c>
      <c r="D14">
        <f t="shared" si="6"/>
        <v>61.647992594919309</v>
      </c>
      <c r="E14">
        <f t="shared" si="6"/>
        <v>61.692314281423592</v>
      </c>
      <c r="F14">
        <f t="shared" si="6"/>
        <v>61.721782355292248</v>
      </c>
      <c r="G14">
        <f t="shared" si="6"/>
        <v>63.60196955739314</v>
      </c>
      <c r="H14">
        <f t="shared" si="6"/>
        <v>63.696165640442793</v>
      </c>
      <c r="I14">
        <f t="shared" si="6"/>
        <v>63.35702679096849</v>
      </c>
      <c r="J14">
        <f t="shared" si="6"/>
        <v>62.590312279517505</v>
      </c>
      <c r="K14">
        <f t="shared" si="6"/>
        <v>61.410340920484536</v>
      </c>
      <c r="L14">
        <f t="shared" si="6"/>
        <v>58.265359309223903</v>
      </c>
    </row>
    <row r="15" spans="1:13" x14ac:dyDescent="0.35">
      <c r="A15" s="1" t="s">
        <v>52</v>
      </c>
      <c r="B15">
        <f>'Scenario inputs'!D4</f>
        <v>313.43700000000001</v>
      </c>
      <c r="C15">
        <f t="shared" ref="C15:L15" si="7">B15+C10</f>
        <v>332.1006047323267</v>
      </c>
      <c r="D15">
        <f t="shared" si="7"/>
        <v>351.84850562529004</v>
      </c>
      <c r="E15">
        <f t="shared" si="7"/>
        <v>372.74369684217379</v>
      </c>
      <c r="F15">
        <f t="shared" si="7"/>
        <v>394.85283230708342</v>
      </c>
      <c r="G15">
        <f t="shared" si="7"/>
        <v>415.5810462832934</v>
      </c>
      <c r="H15">
        <f t="shared" si="7"/>
        <v>434.57369639752272</v>
      </c>
      <c r="I15">
        <f t="shared" si="7"/>
        <v>451.49000167200313</v>
      </c>
      <c r="J15">
        <f t="shared" si="7"/>
        <v>466.01287084198941</v>
      </c>
      <c r="K15">
        <f t="shared" si="7"/>
        <v>477.85851761303911</v>
      </c>
      <c r="L15">
        <f t="shared" si="7"/>
        <v>490.00030555336502</v>
      </c>
    </row>
    <row r="16" spans="1:13" x14ac:dyDescent="0.35">
      <c r="A16" s="1" t="s">
        <v>53</v>
      </c>
      <c r="B16">
        <f>B8/B15</f>
        <v>0.26054978618776137</v>
      </c>
      <c r="C16">
        <f t="shared" ref="C16:L16" si="8">C8/B15</f>
        <v>0.26719989450298887</v>
      </c>
      <c r="D16">
        <f t="shared" si="8"/>
        <v>0.27358937691429408</v>
      </c>
      <c r="E16">
        <f t="shared" si="8"/>
        <v>0.27660941320054411</v>
      </c>
      <c r="F16">
        <f t="shared" si="8"/>
        <v>0.27964144997645846</v>
      </c>
      <c r="G16">
        <f t="shared" si="8"/>
        <v>0.28268498940059683</v>
      </c>
      <c r="H16">
        <f t="shared" si="8"/>
        <v>0.28094433864890778</v>
      </c>
      <c r="I16">
        <f t="shared" si="8"/>
        <v>0.27925187272438934</v>
      </c>
      <c r="J16">
        <f t="shared" si="8"/>
        <v>0.27760216756097478</v>
      </c>
      <c r="K16">
        <f t="shared" si="8"/>
        <v>0.27599086297545433</v>
      </c>
      <c r="L16">
        <f t="shared" si="8"/>
        <v>0.27441450747919544</v>
      </c>
    </row>
    <row r="17" spans="1:2" x14ac:dyDescent="0.35">
      <c r="A17" s="1" t="s">
        <v>54</v>
      </c>
      <c r="B17">
        <f>IF('Scenario inputs'!D23=1,'Scenario inputs'!D24,L12)</f>
        <v>0.15</v>
      </c>
    </row>
    <row r="18" spans="1:2" x14ac:dyDescent="0.35">
      <c r="A18" s="1" t="s">
        <v>55</v>
      </c>
      <c r="B18">
        <f>M11/(M12-M3)</f>
        <v>2285.2375887273847</v>
      </c>
    </row>
    <row r="19" spans="1:2" x14ac:dyDescent="0.35">
      <c r="A19" s="1" t="s">
        <v>56</v>
      </c>
      <c r="B19">
        <f>B18*L13</f>
        <v>1119.0076838945879</v>
      </c>
    </row>
    <row r="20" spans="1:2" x14ac:dyDescent="0.35">
      <c r="A20" s="1" t="s">
        <v>57</v>
      </c>
      <c r="B20">
        <f>SUM(C14:L14)</f>
        <v>618.58465776243327</v>
      </c>
    </row>
    <row r="21" spans="1:2" x14ac:dyDescent="0.35">
      <c r="A21" s="1" t="s">
        <v>58</v>
      </c>
      <c r="B21">
        <f>B19+B20</f>
        <v>1737.5923416570213</v>
      </c>
    </row>
    <row r="22" spans="1:2" x14ac:dyDescent="0.35">
      <c r="A22" s="1" t="s">
        <v>59</v>
      </c>
      <c r="B22">
        <f>'Scenario inputs'!D5</f>
        <v>86.995000000000005</v>
      </c>
    </row>
    <row r="23" spans="1:2" x14ac:dyDescent="0.35">
      <c r="A23" s="1" t="s">
        <v>60</v>
      </c>
      <c r="B23">
        <f>'Scenario inputs'!D6</f>
        <v>58.13</v>
      </c>
    </row>
    <row r="24" spans="1:2" x14ac:dyDescent="0.35">
      <c r="A24" s="1" t="s">
        <v>61</v>
      </c>
      <c r="B24">
        <f>'Scenario inputs'!D7</f>
        <v>0</v>
      </c>
    </row>
    <row r="25" spans="1:2" x14ac:dyDescent="0.35">
      <c r="A25" s="1" t="s">
        <v>62</v>
      </c>
      <c r="B25">
        <f>'Scenario inputs'!D8</f>
        <v>0</v>
      </c>
    </row>
    <row r="26" spans="1:2" x14ac:dyDescent="0.35">
      <c r="A26" s="1" t="s">
        <v>63</v>
      </c>
      <c r="B26">
        <f>B21-B22-B24+B23+B25</f>
        <v>1708.7273416570215</v>
      </c>
    </row>
    <row r="27" spans="1:2" x14ac:dyDescent="0.35">
      <c r="A27" s="1" t="s">
        <v>64</v>
      </c>
      <c r="B27">
        <f>'Scenario inputs'!D9</f>
        <v>0</v>
      </c>
    </row>
    <row r="28" spans="1:2" x14ac:dyDescent="0.35">
      <c r="A28" s="1" t="s">
        <v>65</v>
      </c>
      <c r="B28">
        <f>B26-B27</f>
        <v>1708.7273416570215</v>
      </c>
    </row>
    <row r="29" spans="1:2" x14ac:dyDescent="0.35">
      <c r="A29" s="1" t="s">
        <v>66</v>
      </c>
      <c r="B29">
        <f>'Scenario inputs'!D10</f>
        <v>13.633262999999999</v>
      </c>
    </row>
    <row r="30" spans="1:2" x14ac:dyDescent="0.35">
      <c r="A30" s="1" t="s">
        <v>67</v>
      </c>
      <c r="B30">
        <f>B28/B29</f>
        <v>125.33517043256788</v>
      </c>
    </row>
    <row r="31" spans="1:2" x14ac:dyDescent="0.35">
      <c r="A31" s="1" t="s">
        <v>68</v>
      </c>
      <c r="B31">
        <f>B19/B21</f>
        <v>0.64399897321570143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inputs'!E11</f>
        <v>5.6477172834826561E-2</v>
      </c>
      <c r="D3">
        <f>'Scenario inputs'!E12</f>
        <v>7.9772924907641762E-2</v>
      </c>
      <c r="E3">
        <f>'Scenario inputs'!E12</f>
        <v>7.9772924907641762E-2</v>
      </c>
      <c r="F3">
        <f>'Scenario inputs'!E12</f>
        <v>7.9772924907641762E-2</v>
      </c>
      <c r="G3">
        <f>'Scenario inputs'!E12</f>
        <v>7.9772924907641762E-2</v>
      </c>
      <c r="H3">
        <f>G3-((G3-M3)/5)*1</f>
        <v>6.9818339926113415E-2</v>
      </c>
      <c r="I3">
        <f>G3-((G3-M3)/5)*2</f>
        <v>5.9863754944585054E-2</v>
      </c>
      <c r="J3">
        <f>G3-((G3-M3)/5)*3</f>
        <v>4.9909169963056707E-2</v>
      </c>
      <c r="K3">
        <f>G3-((G3-M3)/5)*4</f>
        <v>3.9954584981528353E-2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41</v>
      </c>
      <c r="B4">
        <f>'Scenario inputs'!E2</f>
        <v>619.98500000000001</v>
      </c>
      <c r="C4">
        <f t="shared" ref="C4:M4" si="0">B4*(1+C3)</f>
        <v>655</v>
      </c>
      <c r="D4">
        <f t="shared" si="0"/>
        <v>707.25126581450536</v>
      </c>
      <c r="E4">
        <f t="shared" si="0"/>
        <v>763.6707679331605</v>
      </c>
      <c r="F4">
        <f t="shared" si="0"/>
        <v>824.59101875765361</v>
      </c>
      <c r="G4">
        <f t="shared" si="0"/>
        <v>890.37105617652378</v>
      </c>
      <c r="H4">
        <f t="shared" si="0"/>
        <v>952.53528523702892</v>
      </c>
      <c r="I4">
        <f t="shared" si="0"/>
        <v>1009.5576241285288</v>
      </c>
      <c r="J4">
        <f t="shared" si="0"/>
        <v>1059.9438071786592</v>
      </c>
      <c r="K4">
        <f t="shared" si="0"/>
        <v>1102.2934220982236</v>
      </c>
      <c r="L4">
        <f t="shared" si="0"/>
        <v>1135.3622247611704</v>
      </c>
      <c r="M4">
        <f t="shared" si="0"/>
        <v>1169.4230915040055</v>
      </c>
    </row>
    <row r="5" spans="1:13" x14ac:dyDescent="0.35">
      <c r="A5" s="1" t="s">
        <v>42</v>
      </c>
      <c r="B5">
        <f>B6/B4</f>
        <v>0.17106811723939563</v>
      </c>
      <c r="C5">
        <f>'Scenario inputs'!E14</f>
        <v>0.17139949109414759</v>
      </c>
      <c r="D5">
        <f>IF(D2&gt;'Scenario inputs'!E16,'Scenario inputs'!E15,'Scenario inputs'!E15-(('Scenario inputs'!E15-C5)/'Scenario inputs'!E16)*('Scenario inputs'!E16-D2))</f>
        <v>0.18283969465648856</v>
      </c>
      <c r="E5">
        <f>IF(E2&gt;'Scenario inputs'!E16,'Scenario inputs'!E15,'Scenario inputs'!E15-(('Scenario inputs'!E15-C5)/'Scenario inputs'!E16)*('Scenario inputs'!E16-E2))</f>
        <v>0.18855979643765905</v>
      </c>
      <c r="F5">
        <f>IF(F2&gt;'Scenario inputs'!E16,'Scenario inputs'!E15,'Scenario inputs'!E15-(('Scenario inputs'!E15-C5)/'Scenario inputs'!E16)*('Scenario inputs'!E16-F2))</f>
        <v>0.19427989821882952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43</v>
      </c>
      <c r="B6">
        <f>'Scenario inputs'!E3</f>
        <v>106.0596666666667</v>
      </c>
      <c r="C6">
        <f t="shared" ref="C6:M6" si="1">C5*C4</f>
        <v>112.26666666666668</v>
      </c>
      <c r="D6">
        <f t="shared" si="1"/>
        <v>129.3136054869392</v>
      </c>
      <c r="E6">
        <f t="shared" si="1"/>
        <v>143.99760454686751</v>
      </c>
      <c r="F6">
        <f t="shared" si="1"/>
        <v>160.20145919639788</v>
      </c>
      <c r="G6">
        <f t="shared" si="1"/>
        <v>178.07421123530477</v>
      </c>
      <c r="H6">
        <f t="shared" si="1"/>
        <v>190.50705704740579</v>
      </c>
      <c r="I6">
        <f t="shared" si="1"/>
        <v>201.91152482570578</v>
      </c>
      <c r="J6">
        <f t="shared" si="1"/>
        <v>211.98876143573185</v>
      </c>
      <c r="K6">
        <f t="shared" si="1"/>
        <v>220.45868441964473</v>
      </c>
      <c r="L6">
        <f t="shared" si="1"/>
        <v>227.07244495223409</v>
      </c>
      <c r="M6">
        <f t="shared" si="1"/>
        <v>233.88461830080109</v>
      </c>
    </row>
    <row r="7" spans="1:13" x14ac:dyDescent="0.35">
      <c r="A7" s="1" t="s">
        <v>44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45</v>
      </c>
      <c r="B8">
        <f t="shared" ref="B8:L8" si="2">IF(B6&gt;0,B6*(1-B7),B6)</f>
        <v>82.196241666666694</v>
      </c>
      <c r="C8">
        <f t="shared" si="2"/>
        <v>87.006666666666675</v>
      </c>
      <c r="D8">
        <f t="shared" si="2"/>
        <v>100.21804425237788</v>
      </c>
      <c r="E8">
        <f t="shared" si="2"/>
        <v>111.59814352382232</v>
      </c>
      <c r="F8">
        <f t="shared" si="2"/>
        <v>124.15613087720835</v>
      </c>
      <c r="G8">
        <f t="shared" si="2"/>
        <v>138.0075137073612</v>
      </c>
      <c r="H8">
        <f t="shared" si="2"/>
        <v>146.69043392650246</v>
      </c>
      <c r="I8">
        <f t="shared" si="2"/>
        <v>154.46231649166492</v>
      </c>
      <c r="J8">
        <f t="shared" si="2"/>
        <v>161.1114586911562</v>
      </c>
      <c r="K8">
        <f t="shared" si="2"/>
        <v>166.44630673683176</v>
      </c>
      <c r="L8">
        <f t="shared" si="2"/>
        <v>170.30433371417558</v>
      </c>
      <c r="M8">
        <f>M6*(1-M7)</f>
        <v>175.41346372560082</v>
      </c>
    </row>
    <row r="9" spans="1:13" x14ac:dyDescent="0.35">
      <c r="A9" s="1" t="s">
        <v>46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47</v>
      </c>
      <c r="C10">
        <f t="shared" ref="C10:L10" si="3">(D4-C4)/C9</f>
        <v>26.12563290725268</v>
      </c>
      <c r="D10">
        <f t="shared" si="3"/>
        <v>28.209751059327573</v>
      </c>
      <c r="E10">
        <f t="shared" si="3"/>
        <v>30.460125412246555</v>
      </c>
      <c r="F10">
        <f t="shared" si="3"/>
        <v>32.890018709435083</v>
      </c>
      <c r="G10">
        <f t="shared" si="3"/>
        <v>31.082114530252568</v>
      </c>
      <c r="H10">
        <f t="shared" si="3"/>
        <v>28.511169445749942</v>
      </c>
      <c r="I10">
        <f t="shared" si="3"/>
        <v>25.193091525065199</v>
      </c>
      <c r="J10">
        <f t="shared" si="3"/>
        <v>21.174807459782187</v>
      </c>
      <c r="K10">
        <f t="shared" si="3"/>
        <v>16.534401331473418</v>
      </c>
      <c r="L10">
        <f t="shared" si="3"/>
        <v>17.03043337141753</v>
      </c>
      <c r="M10">
        <f>IF(M3&gt;0,(M3/B17)*M8,0)</f>
        <v>26.312019558840124</v>
      </c>
    </row>
    <row r="11" spans="1:13" x14ac:dyDescent="0.35">
      <c r="A11" s="1" t="s">
        <v>48</v>
      </c>
      <c r="C11">
        <f t="shared" ref="C11:M11" si="4">C8-C10</f>
        <v>60.881033759413995</v>
      </c>
      <c r="D11">
        <f t="shared" si="4"/>
        <v>72.008293193050307</v>
      </c>
      <c r="E11">
        <f t="shared" si="4"/>
        <v>81.138018111575761</v>
      </c>
      <c r="F11">
        <f t="shared" si="4"/>
        <v>91.266112167773272</v>
      </c>
      <c r="G11">
        <f t="shared" si="4"/>
        <v>106.92539917710863</v>
      </c>
      <c r="H11">
        <f t="shared" si="4"/>
        <v>118.17926448075252</v>
      </c>
      <c r="I11">
        <f t="shared" si="4"/>
        <v>129.26922496659972</v>
      </c>
      <c r="J11">
        <f t="shared" si="4"/>
        <v>139.93665123137401</v>
      </c>
      <c r="K11">
        <f t="shared" si="4"/>
        <v>149.91190540535834</v>
      </c>
      <c r="L11">
        <f t="shared" si="4"/>
        <v>153.27390034275805</v>
      </c>
      <c r="M11">
        <f t="shared" si="4"/>
        <v>149.1014441667607</v>
      </c>
    </row>
    <row r="12" spans="1:13" x14ac:dyDescent="0.35">
      <c r="A12" s="1" t="s">
        <v>49</v>
      </c>
      <c r="C12">
        <f>'Scenario inputs'!E21</f>
        <v>6.5810140994131863E-2</v>
      </c>
      <c r="D12">
        <f>'Scenario inputs'!E21</f>
        <v>6.5810140994131863E-2</v>
      </c>
      <c r="E12">
        <f>'Scenario inputs'!E21</f>
        <v>6.5810140994131863E-2</v>
      </c>
      <c r="F12">
        <f>'Scenario inputs'!E21</f>
        <v>6.5810140994131863E-2</v>
      </c>
      <c r="G12">
        <f>'Scenario inputs'!E21</f>
        <v>6.5810140994131863E-2</v>
      </c>
      <c r="H12">
        <f>G12-(G12-M12)/5</f>
        <v>6.5810140994131863E-2</v>
      </c>
      <c r="I12">
        <f>H12-(G12-M12)/5</f>
        <v>6.5810140994131863E-2</v>
      </c>
      <c r="J12">
        <f>I12-(G12-M12)/5</f>
        <v>6.5810140994131863E-2</v>
      </c>
      <c r="K12">
        <f>J12-(G12-M12)/5</f>
        <v>6.5810140994131863E-2</v>
      </c>
      <c r="L12">
        <f>K12-(G12-M12)/5</f>
        <v>6.5810140994131863E-2</v>
      </c>
      <c r="M12">
        <f>'Scenario inputs'!E22</f>
        <v>6.5810140994131863E-2</v>
      </c>
    </row>
    <row r="13" spans="1:13" x14ac:dyDescent="0.35">
      <c r="A13" s="1" t="s">
        <v>50</v>
      </c>
      <c r="C13">
        <f>1/(1+C12)</f>
        <v>0.93825341075029778</v>
      </c>
      <c r="D13">
        <f t="shared" ref="D13:L13" si="5">C13*(1/(1+D12))</f>
        <v>0.88031946278456696</v>
      </c>
      <c r="E13">
        <f t="shared" si="5"/>
        <v>0.8259627385074898</v>
      </c>
      <c r="F13">
        <f t="shared" si="5"/>
        <v>0.77496235655730861</v>
      </c>
      <c r="G13">
        <f t="shared" si="5"/>
        <v>0.72711107424298316</v>
      </c>
      <c r="H13">
        <f t="shared" si="5"/>
        <v>0.68221444540279197</v>
      </c>
      <c r="I13">
        <f t="shared" si="5"/>
        <v>0.64009003026229239</v>
      </c>
      <c r="J13">
        <f t="shared" si="5"/>
        <v>0.60056665408085719</v>
      </c>
      <c r="K13">
        <f t="shared" si="5"/>
        <v>0.56348371157425847</v>
      </c>
      <c r="L13">
        <f t="shared" si="5"/>
        <v>0.52869051428678504</v>
      </c>
    </row>
    <row r="14" spans="1:13" x14ac:dyDescent="0.35">
      <c r="A14" s="1" t="s">
        <v>51</v>
      </c>
      <c r="C14">
        <f t="shared" ref="C14:L14" si="6">C11*C13</f>
        <v>57.121837574774204</v>
      </c>
      <c r="D14">
        <f t="shared" si="6"/>
        <v>63.390301979739633</v>
      </c>
      <c r="E14">
        <f t="shared" si="6"/>
        <v>67.016979636507415</v>
      </c>
      <c r="F14">
        <f t="shared" si="6"/>
        <v>70.727801359361237</v>
      </c>
      <c r="G14">
        <f t="shared" si="6"/>
        <v>77.746641859527244</v>
      </c>
      <c r="H14">
        <f t="shared" si="6"/>
        <v>80.623601375846448</v>
      </c>
      <c r="I14">
        <f t="shared" si="6"/>
        <v>82.743942120853902</v>
      </c>
      <c r="J14">
        <f t="shared" si="6"/>
        <v>84.041286413306153</v>
      </c>
      <c r="K14">
        <f t="shared" si="6"/>
        <v>84.472916866980455</v>
      </c>
      <c r="L14">
        <f t="shared" si="6"/>
        <v>81.0344571989542</v>
      </c>
    </row>
    <row r="15" spans="1:13" x14ac:dyDescent="0.35">
      <c r="A15" s="1" t="s">
        <v>52</v>
      </c>
      <c r="B15">
        <f>'Scenario inputs'!E4</f>
        <v>313.43700000000001</v>
      </c>
      <c r="C15">
        <f t="shared" ref="C15:L15" si="7">B15+C10</f>
        <v>339.56263290725269</v>
      </c>
      <c r="D15">
        <f t="shared" si="7"/>
        <v>367.77238396658026</v>
      </c>
      <c r="E15">
        <f t="shared" si="7"/>
        <v>398.23250937882682</v>
      </c>
      <c r="F15">
        <f t="shared" si="7"/>
        <v>431.1225280882619</v>
      </c>
      <c r="G15">
        <f t="shared" si="7"/>
        <v>462.20464261851447</v>
      </c>
      <c r="H15">
        <f t="shared" si="7"/>
        <v>490.71581206426441</v>
      </c>
      <c r="I15">
        <f t="shared" si="7"/>
        <v>515.90890358932961</v>
      </c>
      <c r="J15">
        <f t="shared" si="7"/>
        <v>537.0837110491118</v>
      </c>
      <c r="K15">
        <f t="shared" si="7"/>
        <v>553.61811238058522</v>
      </c>
      <c r="L15">
        <f t="shared" si="7"/>
        <v>570.64854575200275</v>
      </c>
    </row>
    <row r="16" spans="1:13" x14ac:dyDescent="0.35">
      <c r="A16" s="1" t="s">
        <v>53</v>
      </c>
      <c r="B16">
        <f>B8/B15</f>
        <v>0.26224166791625331</v>
      </c>
      <c r="C16">
        <f t="shared" ref="C16:L16" si="8">C8/B15</f>
        <v>0.27758901044441681</v>
      </c>
      <c r="D16">
        <f t="shared" si="8"/>
        <v>0.29513861226229565</v>
      </c>
      <c r="E16">
        <f t="shared" si="8"/>
        <v>0.30344351122884561</v>
      </c>
      <c r="F16">
        <f t="shared" si="8"/>
        <v>0.31176794448768191</v>
      </c>
      <c r="G16">
        <f t="shared" si="8"/>
        <v>0.32011204406165361</v>
      </c>
      <c r="H16">
        <f t="shared" si="8"/>
        <v>0.31737118237381051</v>
      </c>
      <c r="I16">
        <f t="shared" si="8"/>
        <v>0.31476938931700138</v>
      </c>
      <c r="J16">
        <f t="shared" si="8"/>
        <v>0.31228664124665517</v>
      </c>
      <c r="K16">
        <f t="shared" si="8"/>
        <v>0.30990756806179071</v>
      </c>
      <c r="L16">
        <f t="shared" si="8"/>
        <v>0.30762059604924874</v>
      </c>
    </row>
    <row r="17" spans="1:2" x14ac:dyDescent="0.35">
      <c r="A17" s="1" t="s">
        <v>54</v>
      </c>
      <c r="B17">
        <f>IF('Scenario inputs'!E23=1,'Scenario inputs'!E24,L12)</f>
        <v>0.2</v>
      </c>
    </row>
    <row r="18" spans="1:2" x14ac:dyDescent="0.35">
      <c r="A18" s="1" t="s">
        <v>55</v>
      </c>
      <c r="B18">
        <f>M11/(M12-M3)</f>
        <v>4163.6653759948513</v>
      </c>
    </row>
    <row r="19" spans="1:2" x14ac:dyDescent="0.35">
      <c r="A19" s="1" t="s">
        <v>56</v>
      </c>
      <c r="B19">
        <f>B18*L13</f>
        <v>2201.2903889527979</v>
      </c>
    </row>
    <row r="20" spans="1:2" x14ac:dyDescent="0.35">
      <c r="A20" s="1" t="s">
        <v>57</v>
      </c>
      <c r="B20">
        <f>SUM(C14:L14)</f>
        <v>748.91976638585095</v>
      </c>
    </row>
    <row r="21" spans="1:2" x14ac:dyDescent="0.35">
      <c r="A21" s="1" t="s">
        <v>58</v>
      </c>
      <c r="B21">
        <f>B19+B20</f>
        <v>2950.2101553386487</v>
      </c>
    </row>
    <row r="22" spans="1:2" x14ac:dyDescent="0.35">
      <c r="A22" s="1" t="s">
        <v>59</v>
      </c>
      <c r="B22">
        <f>'Scenario inputs'!E5</f>
        <v>86.995000000000005</v>
      </c>
    </row>
    <row r="23" spans="1:2" x14ac:dyDescent="0.35">
      <c r="A23" s="1" t="s">
        <v>60</v>
      </c>
      <c r="B23">
        <f>'Scenario inputs'!E6</f>
        <v>58.13</v>
      </c>
    </row>
    <row r="24" spans="1:2" x14ac:dyDescent="0.35">
      <c r="A24" s="1" t="s">
        <v>61</v>
      </c>
      <c r="B24">
        <f>'Scenario inputs'!E7</f>
        <v>0</v>
      </c>
    </row>
    <row r="25" spans="1:2" x14ac:dyDescent="0.35">
      <c r="A25" s="1" t="s">
        <v>62</v>
      </c>
      <c r="B25">
        <f>'Scenario inputs'!E8</f>
        <v>0</v>
      </c>
    </row>
    <row r="26" spans="1:2" x14ac:dyDescent="0.35">
      <c r="A26" s="1" t="s">
        <v>63</v>
      </c>
      <c r="B26">
        <f>B21-B22-B24+B23+B25</f>
        <v>2921.345155338649</v>
      </c>
    </row>
    <row r="27" spans="1:2" x14ac:dyDescent="0.35">
      <c r="A27" s="1" t="s">
        <v>64</v>
      </c>
      <c r="B27">
        <f>'Scenario inputs'!E9</f>
        <v>0</v>
      </c>
    </row>
    <row r="28" spans="1:2" x14ac:dyDescent="0.35">
      <c r="A28" s="1" t="s">
        <v>65</v>
      </c>
      <c r="B28">
        <f>B26-B27</f>
        <v>2921.345155338649</v>
      </c>
    </row>
    <row r="29" spans="1:2" x14ac:dyDescent="0.35">
      <c r="A29" s="1" t="s">
        <v>66</v>
      </c>
      <c r="B29">
        <f>'Scenario inputs'!E10</f>
        <v>13.633262999999999</v>
      </c>
    </row>
    <row r="30" spans="1:2" x14ac:dyDescent="0.35">
      <c r="A30" s="1" t="s">
        <v>67</v>
      </c>
      <c r="B30">
        <f>B28/B29</f>
        <v>214.28070120400736</v>
      </c>
    </row>
    <row r="31" spans="1:2" x14ac:dyDescent="0.35">
      <c r="A31" s="1" t="s">
        <v>68</v>
      </c>
      <c r="B31">
        <f>B19/B21</f>
        <v>0.74614697701090249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70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49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71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72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50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73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74</v>
      </c>
      <c r="B9">
        <f>'DCF Original'!B15</f>
        <v>313.43700000000001</v>
      </c>
    </row>
    <row r="10" spans="1:12" x14ac:dyDescent="0.35">
      <c r="A10" s="1" t="s">
        <v>75</v>
      </c>
      <c r="B10">
        <f>SUM(C8:L8)</f>
        <v>450.32539044319174</v>
      </c>
    </row>
    <row r="11" spans="1:12" x14ac:dyDescent="0.35">
      <c r="A11" s="1" t="s">
        <v>76</v>
      </c>
      <c r="B11">
        <f>'DCF Original'!M8</f>
        <v>123.57566369109821</v>
      </c>
    </row>
    <row r="12" spans="1:12" x14ac:dyDescent="0.35">
      <c r="A12" s="1" t="s">
        <v>77</v>
      </c>
      <c r="B12">
        <f>'DCF Original'!M12</f>
        <v>0.08</v>
      </c>
    </row>
    <row r="13" spans="1:12" x14ac:dyDescent="0.35">
      <c r="A13" s="1" t="s">
        <v>78</v>
      </c>
      <c r="B13">
        <f>'DCF Original'!M3</f>
        <v>2.5000000000000001E-2</v>
      </c>
    </row>
    <row r="14" spans="1:12" x14ac:dyDescent="0.35">
      <c r="A14" s="1" t="s">
        <v>54</v>
      </c>
      <c r="B14">
        <f>'DCF Original'!B17</f>
        <v>7.9999999999999988E-2</v>
      </c>
    </row>
    <row r="15" spans="1:12" x14ac:dyDescent="0.35">
      <c r="A15" s="1" t="s">
        <v>79</v>
      </c>
      <c r="B15">
        <f>'DCF Original'!L15</f>
        <v>469.5295041145896</v>
      </c>
    </row>
    <row r="16" spans="1:12" x14ac:dyDescent="0.35">
      <c r="A16" s="1" t="s">
        <v>80</v>
      </c>
      <c r="B16">
        <f>B11-B12*B15</f>
        <v>86.013303361931037</v>
      </c>
    </row>
    <row r="17" spans="1:2" x14ac:dyDescent="0.35">
      <c r="A17" s="1" t="s">
        <v>81</v>
      </c>
      <c r="B17">
        <f>B11*(B13/B14)*(B14-B12)/(B12*(B12-B13))</f>
        <v>-1.2180091185475161E-13</v>
      </c>
    </row>
    <row r="18" spans="1:2" x14ac:dyDescent="0.35">
      <c r="A18" s="1" t="s">
        <v>82</v>
      </c>
      <c r="B18">
        <f>B16/B12+B17</f>
        <v>1075.1662920241376</v>
      </c>
    </row>
    <row r="19" spans="1:2" x14ac:dyDescent="0.35">
      <c r="A19" s="1" t="s">
        <v>83</v>
      </c>
      <c r="B19">
        <f>B18*L7</f>
        <v>466.87877574439682</v>
      </c>
    </row>
    <row r="20" spans="1:2" x14ac:dyDescent="0.35">
      <c r="A20" s="1" t="s">
        <v>84</v>
      </c>
      <c r="B20">
        <f>B9+B10+B19</f>
        <v>1230.6411661875886</v>
      </c>
    </row>
    <row r="21" spans="1:2" x14ac:dyDescent="0.35">
      <c r="A21" s="1" t="s">
        <v>85</v>
      </c>
      <c r="B21">
        <f>'DCF Original'!B21</f>
        <v>1230.6411661875886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Bear'!C8</f>
        <v>80.528999999999996</v>
      </c>
      <c r="D2">
        <f>'DCF Bear'!D8</f>
        <v>83.143410149889149</v>
      </c>
      <c r="E2">
        <f>'DCF Bear'!E8</f>
        <v>85.842698299403821</v>
      </c>
      <c r="F2">
        <f>'DCF Bear'!F8</f>
        <v>88.629620050919854</v>
      </c>
      <c r="G2">
        <f>'DCF Bear'!G8</f>
        <v>91.507020468681688</v>
      </c>
      <c r="H2">
        <f>'DCF Bear'!H8</f>
        <v>93.88009508861164</v>
      </c>
      <c r="I2">
        <f>'DCF Bear'!I8</f>
        <v>96.080088323050305</v>
      </c>
      <c r="J2">
        <f>'DCF Bear'!J8</f>
        <v>98.091510643029068</v>
      </c>
      <c r="K2">
        <f>'DCF Bear'!K8</f>
        <v>99.899884295183284</v>
      </c>
      <c r="L2">
        <f>'DCF Bear'!L8</f>
        <v>101.49191432379178</v>
      </c>
    </row>
    <row r="3" spans="1:12" x14ac:dyDescent="0.35">
      <c r="A3" s="1" t="s">
        <v>70</v>
      </c>
      <c r="C3">
        <f>'DCF Bear'!B15</f>
        <v>313.43700000000001</v>
      </c>
      <c r="D3">
        <f>'DCF Bear'!C15</f>
        <v>323.66361646382154</v>
      </c>
      <c r="E3">
        <f>'DCF Bear'!D15</f>
        <v>334.22224462382752</v>
      </c>
      <c r="F3">
        <f>'DCF Bear'!E15</f>
        <v>345.12366338883822</v>
      </c>
      <c r="G3">
        <f>'DCF Bear'!F15</f>
        <v>356.37900160978944</v>
      </c>
      <c r="H3">
        <f>'DCF Bear'!G15</f>
        <v>367.10736788100547</v>
      </c>
      <c r="I3">
        <f>'DCF Bear'!H15</f>
        <v>377.23816026004408</v>
      </c>
      <c r="J3">
        <f>'DCF Bear'!I15</f>
        <v>386.70295409685355</v>
      </c>
      <c r="K3">
        <f>'DCF Bear'!J15</f>
        <v>395.43625507574177</v>
      </c>
      <c r="L3">
        <f>'DCF Bear'!K15</f>
        <v>403.37624017725659</v>
      </c>
    </row>
    <row r="4" spans="1:12" x14ac:dyDescent="0.35">
      <c r="A4" s="1" t="s">
        <v>49</v>
      </c>
      <c r="C4">
        <f>'DCF Bear'!C12</f>
        <v>7.7020829652970399E-2</v>
      </c>
      <c r="D4">
        <f>'DCF Bear'!D12</f>
        <v>7.7020829652970399E-2</v>
      </c>
      <c r="E4">
        <f>'DCF Bear'!E12</f>
        <v>7.7020829652970399E-2</v>
      </c>
      <c r="F4">
        <f>'DCF Bear'!F12</f>
        <v>7.7020829652970399E-2</v>
      </c>
      <c r="G4">
        <f>'DCF Bear'!G12</f>
        <v>7.7020829652970399E-2</v>
      </c>
      <c r="H4">
        <f>'DCF Bear'!H12</f>
        <v>7.8259338991658697E-2</v>
      </c>
      <c r="I4">
        <f>'DCF Bear'!I12</f>
        <v>7.9497848330346996E-2</v>
      </c>
      <c r="J4">
        <f>'DCF Bear'!J12</f>
        <v>8.0736357669035294E-2</v>
      </c>
      <c r="K4">
        <f>'DCF Bear'!K12</f>
        <v>8.1974867007723592E-2</v>
      </c>
      <c r="L4">
        <f>'DCF Bear'!L12</f>
        <v>8.3213376346411891E-2</v>
      </c>
    </row>
    <row r="5" spans="1:12" x14ac:dyDescent="0.35">
      <c r="A5" s="1" t="s">
        <v>71</v>
      </c>
      <c r="C5">
        <f t="shared" ref="C5:L5" si="0">C4*C3</f>
        <v>24.141177783938083</v>
      </c>
      <c r="D5">
        <f t="shared" si="0"/>
        <v>24.928840268524343</v>
      </c>
      <c r="E5">
        <f t="shared" si="0"/>
        <v>25.742074569405222</v>
      </c>
      <c r="F5">
        <f t="shared" si="0"/>
        <v>26.581710887080806</v>
      </c>
      <c r="G5">
        <f t="shared" si="0"/>
        <v>27.448606374883255</v>
      </c>
      <c r="H5">
        <f t="shared" si="0"/>
        <v>28.729579949335164</v>
      </c>
      <c r="I5">
        <f t="shared" si="0"/>
        <v>29.989622048772119</v>
      </c>
      <c r="J5">
        <f t="shared" si="0"/>
        <v>31.220988013636106</v>
      </c>
      <c r="K5">
        <f t="shared" si="0"/>
        <v>32.415834419866194</v>
      </c>
      <c r="L5">
        <f t="shared" si="0"/>
        <v>33.566298883070687</v>
      </c>
    </row>
    <row r="6" spans="1:12" x14ac:dyDescent="0.35">
      <c r="A6" s="1" t="s">
        <v>72</v>
      </c>
      <c r="C6">
        <f t="shared" ref="C6:L6" si="1">C2-C5</f>
        <v>56.387822216061913</v>
      </c>
      <c r="D6">
        <f t="shared" si="1"/>
        <v>58.21456988136481</v>
      </c>
      <c r="E6">
        <f t="shared" si="1"/>
        <v>60.100623729998603</v>
      </c>
      <c r="F6">
        <f t="shared" si="1"/>
        <v>62.047909163839051</v>
      </c>
      <c r="G6">
        <f t="shared" si="1"/>
        <v>64.058414093798433</v>
      </c>
      <c r="H6">
        <f t="shared" si="1"/>
        <v>65.150515139276479</v>
      </c>
      <c r="I6">
        <f t="shared" si="1"/>
        <v>66.090466274278185</v>
      </c>
      <c r="J6">
        <f t="shared" si="1"/>
        <v>66.870522629392966</v>
      </c>
      <c r="K6">
        <f t="shared" si="1"/>
        <v>67.484049875317083</v>
      </c>
      <c r="L6">
        <f t="shared" si="1"/>
        <v>67.925615440721089</v>
      </c>
    </row>
    <row r="7" spans="1:12" x14ac:dyDescent="0.35">
      <c r="A7" s="1" t="s">
        <v>50</v>
      </c>
      <c r="C7">
        <f>'DCF Bear'!C13</f>
        <v>0.92848714942886712</v>
      </c>
      <c r="D7">
        <f>'DCF Bear'!D13</f>
        <v>0.86208838665454346</v>
      </c>
      <c r="E7">
        <f>'DCF Bear'!E13</f>
        <v>0.80043798868060811</v>
      </c>
      <c r="F7">
        <f>'DCF Bear'!F13</f>
        <v>0.74319638640463359</v>
      </c>
      <c r="G7">
        <f>'DCF Bear'!G13</f>
        <v>0.69004829427867309</v>
      </c>
      <c r="H7">
        <f>'DCF Bear'!H13</f>
        <v>0.63996505230733858</v>
      </c>
      <c r="I7">
        <f>'DCF Bear'!I13</f>
        <v>0.59283587577054353</v>
      </c>
      <c r="J7">
        <f>'DCF Bear'!J13</f>
        <v>0.54854810015755351</v>
      </c>
      <c r="K7">
        <f>'DCF Bear'!K13</f>
        <v>0.50698783944455317</v>
      </c>
      <c r="L7">
        <f>'DCF Bear'!L13</f>
        <v>0.46804060078595117</v>
      </c>
    </row>
    <row r="8" spans="1:12" x14ac:dyDescent="0.35">
      <c r="A8" s="1" t="s">
        <v>73</v>
      </c>
      <c r="C8">
        <f t="shared" ref="C8:L8" si="2">C6*C7</f>
        <v>52.355368311893073</v>
      </c>
      <c r="D8">
        <f t="shared" si="2"/>
        <v>50.186104628813965</v>
      </c>
      <c r="E8">
        <f t="shared" si="2"/>
        <v>48.106822376890108</v>
      </c>
      <c r="F8">
        <f t="shared" si="2"/>
        <v>46.113781874528136</v>
      </c>
      <c r="G8">
        <f t="shared" si="2"/>
        <v>44.203399379622518</v>
      </c>
      <c r="H8">
        <f t="shared" si="2"/>
        <v>41.694052828957126</v>
      </c>
      <c r="I8">
        <f t="shared" si="2"/>
        <v>39.180799453795281</v>
      </c>
      <c r="J8">
        <f t="shared" si="2"/>
        <v>36.681698144896203</v>
      </c>
      <c r="K8">
        <f t="shared" si="2"/>
        <v>34.213592643255474</v>
      </c>
      <c r="L8">
        <f t="shared" si="2"/>
        <v>31.79194585963058</v>
      </c>
    </row>
    <row r="9" spans="1:12" x14ac:dyDescent="0.35">
      <c r="A9" s="1" t="s">
        <v>74</v>
      </c>
      <c r="B9">
        <f>'DCF Bear'!B15</f>
        <v>313.43700000000001</v>
      </c>
    </row>
    <row r="10" spans="1:12" x14ac:dyDescent="0.35">
      <c r="A10" s="1" t="s">
        <v>75</v>
      </c>
      <c r="B10">
        <f>SUM(C8:L8)</f>
        <v>424.52756550228247</v>
      </c>
    </row>
    <row r="11" spans="1:12" x14ac:dyDescent="0.35">
      <c r="A11" s="1" t="s">
        <v>76</v>
      </c>
      <c r="B11">
        <f>'DCF Bear'!M8</f>
        <v>103.52175261026761</v>
      </c>
    </row>
    <row r="12" spans="1:12" x14ac:dyDescent="0.35">
      <c r="A12" s="1" t="s">
        <v>77</v>
      </c>
      <c r="B12">
        <f>'DCF Bear'!M12</f>
        <v>8.3213376346411877E-2</v>
      </c>
    </row>
    <row r="13" spans="1:12" x14ac:dyDescent="0.35">
      <c r="A13" s="1" t="s">
        <v>78</v>
      </c>
      <c r="B13">
        <f>'DCF Bear'!M3</f>
        <v>0.02</v>
      </c>
    </row>
    <row r="14" spans="1:12" x14ac:dyDescent="0.35">
      <c r="A14" s="1" t="s">
        <v>54</v>
      </c>
      <c r="B14">
        <f>'DCF Bear'!B17</f>
        <v>8.3213376346411891E-2</v>
      </c>
    </row>
    <row r="15" spans="1:12" x14ac:dyDescent="0.35">
      <c r="A15" s="1" t="s">
        <v>79</v>
      </c>
      <c r="B15">
        <f>'DCF Bear'!L15</f>
        <v>411.47502498080172</v>
      </c>
    </row>
    <row r="16" spans="1:12" x14ac:dyDescent="0.35">
      <c r="A16" s="1" t="s">
        <v>80</v>
      </c>
      <c r="B16">
        <f>B11-B12*B15</f>
        <v>69.281526499390935</v>
      </c>
    </row>
    <row r="17" spans="1:2" x14ac:dyDescent="0.35">
      <c r="A17" s="1" t="s">
        <v>81</v>
      </c>
      <c r="B17">
        <f>B11*(B13/B14)*(B14-B12)/(B12*(B12-B13))</f>
        <v>6.5642721701787948E-14</v>
      </c>
    </row>
    <row r="18" spans="1:2" x14ac:dyDescent="0.35">
      <c r="A18" s="1" t="s">
        <v>82</v>
      </c>
      <c r="B18">
        <f>B16/B12+B17</f>
        <v>832.57679884273</v>
      </c>
    </row>
    <row r="19" spans="1:2" x14ac:dyDescent="0.35">
      <c r="A19" s="1" t="s">
        <v>83</v>
      </c>
      <c r="B19">
        <f>B18*L7</f>
        <v>389.67974513079537</v>
      </c>
    </row>
    <row r="20" spans="1:2" x14ac:dyDescent="0.35">
      <c r="A20" s="1" t="s">
        <v>84</v>
      </c>
      <c r="B20">
        <f>B9+B10+B19</f>
        <v>1127.644310633078</v>
      </c>
    </row>
    <row r="21" spans="1:2" x14ac:dyDescent="0.35">
      <c r="A21" s="1" t="s">
        <v>85</v>
      </c>
      <c r="B21">
        <f>'DCF Bear'!B21</f>
        <v>1127.6443106330778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Base'!C8</f>
        <v>83.750333333333316</v>
      </c>
      <c r="D2">
        <f>'DCF Base'!D8</f>
        <v>90.859197521577528</v>
      </c>
      <c r="E2">
        <f>'DCF Base'!E8</f>
        <v>97.324608676499821</v>
      </c>
      <c r="F2">
        <f>'DCF Base'!F8</f>
        <v>104.23458785453093</v>
      </c>
      <c r="G2">
        <f>'DCF Base'!G8</f>
        <v>111.61896871552352</v>
      </c>
      <c r="H2">
        <f>'DCF Base'!H8</f>
        <v>116.75514220308099</v>
      </c>
      <c r="I2">
        <f>'DCF Base'!I8</f>
        <v>121.35551855576844</v>
      </c>
      <c r="J2">
        <f>'DCF Base'!J8</f>
        <v>125.3346030962562</v>
      </c>
      <c r="K2">
        <f>'DCF Base'!K8</f>
        <v>128.6152943813496</v>
      </c>
      <c r="L2">
        <f>'DCF Base'!L8</f>
        <v>131.13130975552056</v>
      </c>
    </row>
    <row r="3" spans="1:12" x14ac:dyDescent="0.35">
      <c r="A3" s="1" t="s">
        <v>70</v>
      </c>
      <c r="C3">
        <f>'DCF Base'!B15</f>
        <v>313.43700000000001</v>
      </c>
      <c r="D3">
        <f>'DCF Base'!C15</f>
        <v>332.1006047323267</v>
      </c>
      <c r="E3">
        <f>'DCF Base'!D15</f>
        <v>351.84850562529004</v>
      </c>
      <c r="F3">
        <f>'DCF Base'!E15</f>
        <v>372.74369684217379</v>
      </c>
      <c r="G3">
        <f>'DCF Base'!F15</f>
        <v>394.85283230708342</v>
      </c>
      <c r="H3">
        <f>'DCF Base'!G15</f>
        <v>415.5810462832934</v>
      </c>
      <c r="I3">
        <f>'DCF Base'!H15</f>
        <v>434.57369639752272</v>
      </c>
      <c r="J3">
        <f>'DCF Base'!I15</f>
        <v>451.49000167200313</v>
      </c>
      <c r="K3">
        <f>'DCF Base'!J15</f>
        <v>466.01287084198941</v>
      </c>
      <c r="L3">
        <f>'DCF Base'!K15</f>
        <v>477.85851761303911</v>
      </c>
    </row>
    <row r="4" spans="1:12" x14ac:dyDescent="0.35">
      <c r="A4" s="1" t="s">
        <v>49</v>
      </c>
      <c r="C4">
        <f>'DCF Base'!C12</f>
        <v>7.4013719318297547E-2</v>
      </c>
      <c r="D4">
        <f>'DCF Base'!D12</f>
        <v>7.4013719318297547E-2</v>
      </c>
      <c r="E4">
        <f>'DCF Base'!E12</f>
        <v>7.4013719318297547E-2</v>
      </c>
      <c r="F4">
        <f>'DCF Base'!F12</f>
        <v>7.4013719318297547E-2</v>
      </c>
      <c r="G4">
        <f>'DCF Base'!G12</f>
        <v>7.4013719318297547E-2</v>
      </c>
      <c r="H4">
        <f>'DCF Base'!H12</f>
        <v>7.4013719318297547E-2</v>
      </c>
      <c r="I4">
        <f>'DCF Base'!I12</f>
        <v>7.4013719318297547E-2</v>
      </c>
      <c r="J4">
        <f>'DCF Base'!J12</f>
        <v>7.4013719318297547E-2</v>
      </c>
      <c r="K4">
        <f>'DCF Base'!K12</f>
        <v>7.4013719318297547E-2</v>
      </c>
      <c r="L4">
        <f>'DCF Base'!L12</f>
        <v>7.4013719318297547E-2</v>
      </c>
    </row>
    <row r="5" spans="1:12" x14ac:dyDescent="0.35">
      <c r="A5" s="1" t="s">
        <v>71</v>
      </c>
      <c r="C5">
        <f t="shared" ref="C5:L5" si="0">C4*C3</f>
        <v>23.19863814196923</v>
      </c>
      <c r="D5">
        <f t="shared" si="0"/>
        <v>24.580000944095307</v>
      </c>
      <c r="E5">
        <f t="shared" si="0"/>
        <v>26.041616537912653</v>
      </c>
      <c r="F5">
        <f t="shared" si="0"/>
        <v>27.588147355741242</v>
      </c>
      <c r="G5">
        <f t="shared" si="0"/>
        <v>29.224526702411282</v>
      </c>
      <c r="H5">
        <f t="shared" si="0"/>
        <v>30.758698913616101</v>
      </c>
      <c r="I5">
        <f t="shared" si="0"/>
        <v>32.164415588281301</v>
      </c>
      <c r="J5">
        <f t="shared" si="0"/>
        <v>33.416454258769328</v>
      </c>
      <c r="K5">
        <f t="shared" si="0"/>
        <v>34.491345821213052</v>
      </c>
      <c r="L5">
        <f t="shared" si="0"/>
        <v>35.368086196469221</v>
      </c>
    </row>
    <row r="6" spans="1:12" x14ac:dyDescent="0.35">
      <c r="A6" s="1" t="s">
        <v>72</v>
      </c>
      <c r="C6">
        <f t="shared" ref="C6:L6" si="1">C2-C5</f>
        <v>60.55169519136409</v>
      </c>
      <c r="D6">
        <f t="shared" si="1"/>
        <v>66.279196577482224</v>
      </c>
      <c r="E6">
        <f t="shared" si="1"/>
        <v>71.282992138587161</v>
      </c>
      <c r="F6">
        <f t="shared" si="1"/>
        <v>76.646440498789687</v>
      </c>
      <c r="G6">
        <f t="shared" si="1"/>
        <v>82.39444201311224</v>
      </c>
      <c r="H6">
        <f t="shared" si="1"/>
        <v>85.996443289464892</v>
      </c>
      <c r="I6">
        <f t="shared" si="1"/>
        <v>89.19110296748714</v>
      </c>
      <c r="J6">
        <f t="shared" si="1"/>
        <v>91.918148837486882</v>
      </c>
      <c r="K6">
        <f t="shared" si="1"/>
        <v>94.12394856013654</v>
      </c>
      <c r="L6">
        <f t="shared" si="1"/>
        <v>95.76322355905134</v>
      </c>
    </row>
    <row r="7" spans="1:12" x14ac:dyDescent="0.35">
      <c r="A7" s="1" t="s">
        <v>50</v>
      </c>
      <c r="C7">
        <f>'DCF Base'!C13</f>
        <v>0.9310868027223379</v>
      </c>
      <c r="D7">
        <f>'DCF Base'!D13</f>
        <v>0.86692263420370574</v>
      </c>
      <c r="E7">
        <f>'DCF Base'!E13</f>
        <v>0.80718022368835529</v>
      </c>
      <c r="F7">
        <f>'DCF Base'!F13</f>
        <v>0.75155485369469222</v>
      </c>
      <c r="G7">
        <f>'DCF Base'!G13</f>
        <v>0.69976280579704542</v>
      </c>
      <c r="H7">
        <f>'DCF Base'!H13</f>
        <v>0.65153991351358331</v>
      </c>
      <c r="I7">
        <f>'DCF Base'!I13</f>
        <v>0.60664021491935083</v>
      </c>
      <c r="J7">
        <f>'DCF Base'!J13</f>
        <v>0.56483469811205023</v>
      </c>
      <c r="K7">
        <f>'DCF Base'!K13</f>
        <v>0.52591013313178581</v>
      </c>
      <c r="L7">
        <f>'DCF Base'!L13</f>
        <v>0.48966798437695352</v>
      </c>
    </row>
    <row r="8" spans="1:12" x14ac:dyDescent="0.35">
      <c r="A8" s="1" t="s">
        <v>73</v>
      </c>
      <c r="C8">
        <f t="shared" ref="C8:L8" si="2">C6*C7</f>
        <v>56.378884275144756</v>
      </c>
      <c r="D8">
        <f t="shared" si="2"/>
        <v>57.458935689856126</v>
      </c>
      <c r="E8">
        <f t="shared" si="2"/>
        <v>57.538221539600059</v>
      </c>
      <c r="F8">
        <f t="shared" si="2"/>
        <v>57.604004375286813</v>
      </c>
      <c r="G8">
        <f t="shared" si="2"/>
        <v>57.656565925177382</v>
      </c>
      <c r="H8">
        <f t="shared" si="2"/>
        <v>56.030115223293727</v>
      </c>
      <c r="I8">
        <f t="shared" si="2"/>
        <v>54.106909873090345</v>
      </c>
      <c r="J8">
        <f t="shared" si="2"/>
        <v>51.918559849640403</v>
      </c>
      <c r="K8">
        <f t="shared" si="2"/>
        <v>49.500738318150766</v>
      </c>
      <c r="L8">
        <f t="shared" si="2"/>
        <v>46.892184657600261</v>
      </c>
    </row>
    <row r="9" spans="1:12" x14ac:dyDescent="0.35">
      <c r="A9" s="1" t="s">
        <v>74</v>
      </c>
      <c r="B9">
        <f>'DCF Base'!B15</f>
        <v>313.43700000000001</v>
      </c>
    </row>
    <row r="10" spans="1:12" x14ac:dyDescent="0.35">
      <c r="A10" s="1" t="s">
        <v>75</v>
      </c>
      <c r="B10">
        <f>SUM(C8:L8)</f>
        <v>545.08511972684062</v>
      </c>
    </row>
    <row r="11" spans="1:12" x14ac:dyDescent="0.35">
      <c r="A11" s="1" t="s">
        <v>76</v>
      </c>
      <c r="B11">
        <f>'DCF Base'!M8</f>
        <v>134.40959249940855</v>
      </c>
    </row>
    <row r="12" spans="1:12" x14ac:dyDescent="0.35">
      <c r="A12" s="1" t="s">
        <v>77</v>
      </c>
      <c r="B12">
        <f>'DCF Base'!M12</f>
        <v>7.4013719318297547E-2</v>
      </c>
    </row>
    <row r="13" spans="1:12" x14ac:dyDescent="0.35">
      <c r="A13" s="1" t="s">
        <v>78</v>
      </c>
      <c r="B13">
        <f>'DCF Base'!M3</f>
        <v>2.5000000000000001E-2</v>
      </c>
    </row>
    <row r="14" spans="1:12" x14ac:dyDescent="0.35">
      <c r="A14" s="1" t="s">
        <v>54</v>
      </c>
      <c r="B14">
        <f>'DCF Base'!B17</f>
        <v>0.15</v>
      </c>
    </row>
    <row r="15" spans="1:12" x14ac:dyDescent="0.35">
      <c r="A15" s="1" t="s">
        <v>79</v>
      </c>
      <c r="B15">
        <f>'DCF Base'!L15</f>
        <v>490.00030555336502</v>
      </c>
    </row>
    <row r="16" spans="1:12" x14ac:dyDescent="0.35">
      <c r="A16" s="1" t="s">
        <v>80</v>
      </c>
      <c r="B16">
        <f>B11-B12*B15</f>
        <v>98.142847418301756</v>
      </c>
    </row>
    <row r="17" spans="1:2" x14ac:dyDescent="0.35">
      <c r="A17" s="1" t="s">
        <v>81</v>
      </c>
      <c r="B17">
        <f>B11*(B13/B14)*(B14-B12)/(B12*(B12-B13))</f>
        <v>469.22842532651202</v>
      </c>
    </row>
    <row r="18" spans="1:2" x14ac:dyDescent="0.35">
      <c r="A18" s="1" t="s">
        <v>82</v>
      </c>
      <c r="B18">
        <f>B16/B12+B17</f>
        <v>1795.2372831740199</v>
      </c>
    </row>
    <row r="19" spans="1:2" x14ac:dyDescent="0.35">
      <c r="A19" s="1" t="s">
        <v>83</v>
      </c>
      <c r="B19">
        <f>B18*L7</f>
        <v>879.07022193018042</v>
      </c>
    </row>
    <row r="20" spans="1:2" x14ac:dyDescent="0.35">
      <c r="A20" s="1" t="s">
        <v>84</v>
      </c>
      <c r="B20">
        <f>B9+B10+B19</f>
        <v>1737.5923416570211</v>
      </c>
    </row>
    <row r="21" spans="1:2" x14ac:dyDescent="0.35">
      <c r="A21" s="1" t="s">
        <v>85</v>
      </c>
      <c r="B21">
        <f>'DCF Base'!B21</f>
        <v>1737.5923416570213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Bull'!C8</f>
        <v>87.006666666666675</v>
      </c>
      <c r="D2">
        <f>'DCF Bull'!D8</f>
        <v>100.21804425237788</v>
      </c>
      <c r="E2">
        <f>'DCF Bull'!E8</f>
        <v>111.59814352382232</v>
      </c>
      <c r="F2">
        <f>'DCF Bull'!F8</f>
        <v>124.15613087720835</v>
      </c>
      <c r="G2">
        <f>'DCF Bull'!G8</f>
        <v>138.0075137073612</v>
      </c>
      <c r="H2">
        <f>'DCF Bull'!H8</f>
        <v>146.69043392650246</v>
      </c>
      <c r="I2">
        <f>'DCF Bull'!I8</f>
        <v>154.46231649166492</v>
      </c>
      <c r="J2">
        <f>'DCF Bull'!J8</f>
        <v>161.1114586911562</v>
      </c>
      <c r="K2">
        <f>'DCF Bull'!K8</f>
        <v>166.44630673683176</v>
      </c>
      <c r="L2">
        <f>'DCF Bull'!L8</f>
        <v>170.30433371417558</v>
      </c>
    </row>
    <row r="3" spans="1:12" x14ac:dyDescent="0.35">
      <c r="A3" s="1" t="s">
        <v>70</v>
      </c>
      <c r="C3">
        <f>'DCF Bull'!B15</f>
        <v>313.43700000000001</v>
      </c>
      <c r="D3">
        <f>'DCF Bull'!C15</f>
        <v>339.56263290725269</v>
      </c>
      <c r="E3">
        <f>'DCF Bull'!D15</f>
        <v>367.77238396658026</v>
      </c>
      <c r="F3">
        <f>'DCF Bull'!E15</f>
        <v>398.23250937882682</v>
      </c>
      <c r="G3">
        <f>'DCF Bull'!F15</f>
        <v>431.1225280882619</v>
      </c>
      <c r="H3">
        <f>'DCF Bull'!G15</f>
        <v>462.20464261851447</v>
      </c>
      <c r="I3">
        <f>'DCF Bull'!H15</f>
        <v>490.71581206426441</v>
      </c>
      <c r="J3">
        <f>'DCF Bull'!I15</f>
        <v>515.90890358932961</v>
      </c>
      <c r="K3">
        <f>'DCF Bull'!J15</f>
        <v>537.0837110491118</v>
      </c>
      <c r="L3">
        <f>'DCF Bull'!K15</f>
        <v>553.61811238058522</v>
      </c>
    </row>
    <row r="4" spans="1:12" x14ac:dyDescent="0.35">
      <c r="A4" s="1" t="s">
        <v>49</v>
      </c>
      <c r="C4">
        <f>'DCF Bull'!C12</f>
        <v>6.5810140994131863E-2</v>
      </c>
      <c r="D4">
        <f>'DCF Bull'!D12</f>
        <v>6.5810140994131863E-2</v>
      </c>
      <c r="E4">
        <f>'DCF Bull'!E12</f>
        <v>6.5810140994131863E-2</v>
      </c>
      <c r="F4">
        <f>'DCF Bull'!F12</f>
        <v>6.5810140994131863E-2</v>
      </c>
      <c r="G4">
        <f>'DCF Bull'!G12</f>
        <v>6.5810140994131863E-2</v>
      </c>
      <c r="H4">
        <f>'DCF Bull'!H12</f>
        <v>6.5810140994131863E-2</v>
      </c>
      <c r="I4">
        <f>'DCF Bull'!I12</f>
        <v>6.5810140994131863E-2</v>
      </c>
      <c r="J4">
        <f>'DCF Bull'!J12</f>
        <v>6.5810140994131863E-2</v>
      </c>
      <c r="K4">
        <f>'DCF Bull'!K12</f>
        <v>6.5810140994131863E-2</v>
      </c>
      <c r="L4">
        <f>'DCF Bull'!L12</f>
        <v>6.5810140994131863E-2</v>
      </c>
    </row>
    <row r="5" spans="1:12" x14ac:dyDescent="0.35">
      <c r="A5" s="1" t="s">
        <v>71</v>
      </c>
      <c r="C5">
        <f t="shared" ref="C5:L5" si="0">C4*C3</f>
        <v>20.62733316277771</v>
      </c>
      <c r="D5">
        <f t="shared" si="0"/>
        <v>22.34666474796494</v>
      </c>
      <c r="E5">
        <f t="shared" si="0"/>
        <v>24.20315244258865</v>
      </c>
      <c r="F5">
        <f t="shared" si="0"/>
        <v>26.207737590667534</v>
      </c>
      <c r="G5">
        <f t="shared" si="0"/>
        <v>28.37223435923509</v>
      </c>
      <c r="H5">
        <f t="shared" si="0"/>
        <v>30.417752698866767</v>
      </c>
      <c r="I5">
        <f t="shared" si="0"/>
        <v>32.294076779999152</v>
      </c>
      <c r="J5">
        <f t="shared" si="0"/>
        <v>33.952037685341764</v>
      </c>
      <c r="K5">
        <f t="shared" si="0"/>
        <v>35.345554749793628</v>
      </c>
      <c r="L5">
        <f t="shared" si="0"/>
        <v>36.433686032671453</v>
      </c>
    </row>
    <row r="6" spans="1:12" x14ac:dyDescent="0.35">
      <c r="A6" s="1" t="s">
        <v>72</v>
      </c>
      <c r="C6">
        <f t="shared" ref="C6:L6" si="1">C2-C5</f>
        <v>66.379333503888972</v>
      </c>
      <c r="D6">
        <f t="shared" si="1"/>
        <v>77.871379504412943</v>
      </c>
      <c r="E6">
        <f t="shared" si="1"/>
        <v>87.39499108123367</v>
      </c>
      <c r="F6">
        <f t="shared" si="1"/>
        <v>97.948393286540821</v>
      </c>
      <c r="G6">
        <f t="shared" si="1"/>
        <v>109.6352793481261</v>
      </c>
      <c r="H6">
        <f t="shared" si="1"/>
        <v>116.2726812276357</v>
      </c>
      <c r="I6">
        <f t="shared" si="1"/>
        <v>122.16823971166576</v>
      </c>
      <c r="J6">
        <f t="shared" si="1"/>
        <v>127.15942100581444</v>
      </c>
      <c r="K6">
        <f t="shared" si="1"/>
        <v>131.10075198703814</v>
      </c>
      <c r="L6">
        <f t="shared" si="1"/>
        <v>133.87064768150412</v>
      </c>
    </row>
    <row r="7" spans="1:12" x14ac:dyDescent="0.35">
      <c r="A7" s="1" t="s">
        <v>50</v>
      </c>
      <c r="C7">
        <f>'DCF Bull'!C13</f>
        <v>0.93825341075029778</v>
      </c>
      <c r="D7">
        <f>'DCF Bull'!D13</f>
        <v>0.88031946278456696</v>
      </c>
      <c r="E7">
        <f>'DCF Bull'!E13</f>
        <v>0.8259627385074898</v>
      </c>
      <c r="F7">
        <f>'DCF Bull'!F13</f>
        <v>0.77496235655730861</v>
      </c>
      <c r="G7">
        <f>'DCF Bull'!G13</f>
        <v>0.72711107424298316</v>
      </c>
      <c r="H7">
        <f>'DCF Bull'!H13</f>
        <v>0.68221444540279197</v>
      </c>
      <c r="I7">
        <f>'DCF Bull'!I13</f>
        <v>0.64009003026229239</v>
      </c>
      <c r="J7">
        <f>'DCF Bull'!J13</f>
        <v>0.60056665408085719</v>
      </c>
      <c r="K7">
        <f>'DCF Bull'!K13</f>
        <v>0.56348371157425847</v>
      </c>
      <c r="L7">
        <f>'DCF Bull'!L13</f>
        <v>0.52869051428678504</v>
      </c>
    </row>
    <row r="8" spans="1:12" x14ac:dyDescent="0.35">
      <c r="A8" s="1" t="s">
        <v>73</v>
      </c>
      <c r="C8">
        <f t="shared" ref="C8:L8" si="2">C6*C7</f>
        <v>62.280636063355345</v>
      </c>
      <c r="D8">
        <f t="shared" si="2"/>
        <v>68.551690971617944</v>
      </c>
      <c r="E8">
        <f t="shared" si="2"/>
        <v>72.185006165293416</v>
      </c>
      <c r="F8">
        <f t="shared" si="2"/>
        <v>75.906317682339747</v>
      </c>
      <c r="G8">
        <f t="shared" si="2"/>
        <v>79.717025741745516</v>
      </c>
      <c r="H8">
        <f t="shared" si="2"/>
        <v>79.322902739207109</v>
      </c>
      <c r="I8">
        <f t="shared" si="2"/>
        <v>78.198672254131125</v>
      </c>
      <c r="J8">
        <f t="shared" si="2"/>
        <v>76.367708008321046</v>
      </c>
      <c r="K8">
        <f t="shared" si="2"/>
        <v>73.873138319832591</v>
      </c>
      <c r="L8">
        <f t="shared" si="2"/>
        <v>70.776141570639425</v>
      </c>
    </row>
    <row r="9" spans="1:12" x14ac:dyDescent="0.35">
      <c r="A9" s="1" t="s">
        <v>74</v>
      </c>
      <c r="B9">
        <f>'DCF Bull'!B15</f>
        <v>313.43700000000001</v>
      </c>
    </row>
    <row r="10" spans="1:12" x14ac:dyDescent="0.35">
      <c r="A10" s="1" t="s">
        <v>75</v>
      </c>
      <c r="B10">
        <f>SUM(C8:L8)</f>
        <v>737.17923951648334</v>
      </c>
    </row>
    <row r="11" spans="1:12" x14ac:dyDescent="0.35">
      <c r="A11" s="1" t="s">
        <v>76</v>
      </c>
      <c r="B11">
        <f>'DCF Bull'!M8</f>
        <v>175.41346372560082</v>
      </c>
    </row>
    <row r="12" spans="1:12" x14ac:dyDescent="0.35">
      <c r="A12" s="1" t="s">
        <v>77</v>
      </c>
      <c r="B12">
        <f>'DCF Bull'!M12</f>
        <v>6.5810140994131863E-2</v>
      </c>
    </row>
    <row r="13" spans="1:12" x14ac:dyDescent="0.35">
      <c r="A13" s="1" t="s">
        <v>78</v>
      </c>
      <c r="B13">
        <f>'DCF Bull'!M3</f>
        <v>0.03</v>
      </c>
    </row>
    <row r="14" spans="1:12" x14ac:dyDescent="0.35">
      <c r="A14" s="1" t="s">
        <v>54</v>
      </c>
      <c r="B14">
        <f>'DCF Bull'!B17</f>
        <v>0.2</v>
      </c>
    </row>
    <row r="15" spans="1:12" x14ac:dyDescent="0.35">
      <c r="A15" s="1" t="s">
        <v>79</v>
      </c>
      <c r="B15">
        <f>'DCF Bull'!L15</f>
        <v>570.64854575200275</v>
      </c>
    </row>
    <row r="16" spans="1:12" x14ac:dyDescent="0.35">
      <c r="A16" s="1" t="s">
        <v>80</v>
      </c>
      <c r="B16">
        <f>B11-B12*B15</f>
        <v>137.85900247156522</v>
      </c>
    </row>
    <row r="17" spans="1:2" x14ac:dyDescent="0.35">
      <c r="A17" s="1" t="s">
        <v>81</v>
      </c>
      <c r="B17">
        <f>B11*(B13/B14)*(B14-B12)/(B12*(B12-B13))</f>
        <v>1498.218059277478</v>
      </c>
    </row>
    <row r="18" spans="1:2" x14ac:dyDescent="0.35">
      <c r="A18" s="1" t="s">
        <v>82</v>
      </c>
      <c r="B18">
        <f>B16/B12+B17</f>
        <v>3593.0168302428492</v>
      </c>
    </row>
    <row r="19" spans="1:2" x14ac:dyDescent="0.35">
      <c r="A19" s="1" t="s">
        <v>83</v>
      </c>
      <c r="B19">
        <f>B18*L7</f>
        <v>1899.5939158221661</v>
      </c>
    </row>
    <row r="20" spans="1:2" x14ac:dyDescent="0.35">
      <c r="A20" s="1" t="s">
        <v>84</v>
      </c>
      <c r="B20">
        <f>B9+B10+B19</f>
        <v>2950.2101553386492</v>
      </c>
    </row>
    <row r="21" spans="1:2" x14ac:dyDescent="0.35">
      <c r="A21" s="1" t="s">
        <v>85</v>
      </c>
      <c r="B21">
        <f>'DCF Bull'!B21</f>
        <v>2950.2101553386487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91</v>
      </c>
      <c r="C6">
        <f>1/(1+B8)^C2</f>
        <v>0.92762389152796965</v>
      </c>
      <c r="D6">
        <f>1/(1+B8)^D2</f>
        <v>0.86048608413349448</v>
      </c>
      <c r="E6">
        <f>1/(1+B8)^E2</f>
        <v>0.79820744996957604</v>
      </c>
      <c r="F6">
        <f>1/(1+B8)^F2</f>
        <v>0.74043630098739543</v>
      </c>
      <c r="G6">
        <f>1/(1+B8)^G2</f>
        <v>0.68684640295050281</v>
      </c>
      <c r="H6">
        <f>1/(1+B8)^H2</f>
        <v>0.63713513318693338</v>
      </c>
      <c r="I6">
        <f>1/(1+B8)^I2</f>
        <v>0.59102177167605441</v>
      </c>
      <c r="J6">
        <f>1/(1+B8)^J2</f>
        <v>0.54824591581989679</v>
      </c>
      <c r="K6">
        <f>1/(1+B8)^K2</f>
        <v>0.50856600994716838</v>
      </c>
      <c r="L6">
        <f>1/(1+B8)^L2</f>
        <v>0.47175798124604446</v>
      </c>
    </row>
    <row r="7" spans="1:12" x14ac:dyDescent="0.35">
      <c r="A7" s="1" t="s">
        <v>92</v>
      </c>
      <c r="C7">
        <f t="shared" ref="C7:L7" si="2">C5*C6</f>
        <v>3.627380465430972</v>
      </c>
      <c r="D7">
        <f t="shared" si="2"/>
        <v>3.4994385747314416</v>
      </c>
      <c r="E7">
        <f t="shared" si="2"/>
        <v>3.3760093420096906</v>
      </c>
      <c r="F7">
        <f t="shared" si="2"/>
        <v>3.2569336006166028</v>
      </c>
      <c r="G7">
        <f t="shared" si="2"/>
        <v>3.1420577978942621</v>
      </c>
      <c r="H7">
        <f t="shared" si="2"/>
        <v>3.0312337971640182</v>
      </c>
      <c r="I7">
        <f t="shared" si="2"/>
        <v>2.9243186866986468</v>
      </c>
      <c r="J7">
        <f t="shared" si="2"/>
        <v>2.8211745954322947</v>
      </c>
      <c r="K7">
        <f t="shared" si="2"/>
        <v>2.7216685151705406</v>
      </c>
      <c r="L7">
        <f t="shared" si="2"/>
        <v>2.6256721290713143</v>
      </c>
    </row>
    <row r="8" spans="1:12" x14ac:dyDescent="0.35">
      <c r="A8" s="1" t="s">
        <v>93</v>
      </c>
      <c r="B8">
        <v>7.8023118133377742E-2</v>
      </c>
    </row>
    <row r="9" spans="1:12" x14ac:dyDescent="0.35">
      <c r="A9" s="1" t="s">
        <v>94</v>
      </c>
      <c r="B9">
        <v>0.04</v>
      </c>
    </row>
    <row r="10" spans="1:12" x14ac:dyDescent="0.35">
      <c r="A10" s="1" t="s">
        <v>78</v>
      </c>
      <c r="B10">
        <v>0.02</v>
      </c>
    </row>
    <row r="11" spans="1:12" x14ac:dyDescent="0.35">
      <c r="A11" s="1" t="s">
        <v>95</v>
      </c>
      <c r="B11">
        <v>7.8023118133377742E-2</v>
      </c>
    </row>
    <row r="12" spans="1:12" x14ac:dyDescent="0.35">
      <c r="A12" s="1" t="s">
        <v>96</v>
      </c>
      <c r="B12">
        <f>1-B10/B11</f>
        <v>0.74366571756577693</v>
      </c>
    </row>
    <row r="13" spans="1:12" x14ac:dyDescent="0.35">
      <c r="A13" s="1" t="s">
        <v>97</v>
      </c>
      <c r="B13">
        <f>L3*(1+B10)*B12</f>
        <v>6.5348302492577224</v>
      </c>
    </row>
    <row r="14" spans="1:12" x14ac:dyDescent="0.35">
      <c r="A14" s="1" t="s">
        <v>98</v>
      </c>
      <c r="B14">
        <f>B13/(B8-B10)</f>
        <v>112.62459618657702</v>
      </c>
    </row>
    <row r="15" spans="1:12" x14ac:dyDescent="0.35">
      <c r="A15" s="1" t="s">
        <v>56</v>
      </c>
      <c r="B15">
        <f>B14*L6</f>
        <v>53.131552135630535</v>
      </c>
    </row>
    <row r="16" spans="1:12" x14ac:dyDescent="0.35">
      <c r="A16" s="1" t="s">
        <v>99</v>
      </c>
      <c r="B16">
        <f>SUM(C7:L7)</f>
        <v>31.025887504219785</v>
      </c>
    </row>
    <row r="17" spans="1:2" x14ac:dyDescent="0.35">
      <c r="A17" s="1" t="s">
        <v>67</v>
      </c>
      <c r="B17">
        <f>B16+B15</f>
        <v>84.157439639850324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91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92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93</v>
      </c>
      <c r="B8">
        <v>7.492649435104648E-2</v>
      </c>
    </row>
    <row r="9" spans="1:12" x14ac:dyDescent="0.35">
      <c r="A9" s="1" t="s">
        <v>94</v>
      </c>
      <c r="B9">
        <v>0.06</v>
      </c>
    </row>
    <row r="10" spans="1:12" x14ac:dyDescent="0.35">
      <c r="A10" s="1" t="s">
        <v>78</v>
      </c>
      <c r="B10">
        <v>2.5000000000000001E-2</v>
      </c>
    </row>
    <row r="11" spans="1:12" x14ac:dyDescent="0.35">
      <c r="A11" s="1" t="s">
        <v>95</v>
      </c>
      <c r="B11">
        <v>0.15</v>
      </c>
    </row>
    <row r="12" spans="1:12" x14ac:dyDescent="0.35">
      <c r="A12" s="1" t="s">
        <v>96</v>
      </c>
      <c r="B12">
        <f>1-B10/B11</f>
        <v>0.83333333333333326</v>
      </c>
    </row>
    <row r="13" spans="1:12" x14ac:dyDescent="0.35">
      <c r="A13" s="1" t="s">
        <v>97</v>
      </c>
      <c r="B13">
        <f>L3*(1+B10)*B12</f>
        <v>8.9027516114386636</v>
      </c>
    </row>
    <row r="14" spans="1:12" x14ac:dyDescent="0.35">
      <c r="A14" s="1" t="s">
        <v>98</v>
      </c>
      <c r="B14">
        <f>B13/(B8-B10)</f>
        <v>178.31717862746473</v>
      </c>
    </row>
    <row r="15" spans="1:12" x14ac:dyDescent="0.35">
      <c r="A15" s="1" t="s">
        <v>56</v>
      </c>
      <c r="B15">
        <f>B14*L6</f>
        <v>86.57759363202446</v>
      </c>
    </row>
    <row r="16" spans="1:12" x14ac:dyDescent="0.35">
      <c r="A16" s="1" t="s">
        <v>99</v>
      </c>
      <c r="B16">
        <f>SUM(C7:L7)</f>
        <v>34.844731272195602</v>
      </c>
    </row>
    <row r="17" spans="1:2" x14ac:dyDescent="0.35">
      <c r="A17" s="1" t="s">
        <v>67</v>
      </c>
      <c r="B17">
        <f>B16+B15</f>
        <v>121.42232490422006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91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92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93</v>
      </c>
      <c r="B8">
        <v>6.6478717943935561E-2</v>
      </c>
    </row>
    <row r="9" spans="1:12" x14ac:dyDescent="0.35">
      <c r="A9" s="1" t="s">
        <v>94</v>
      </c>
      <c r="B9">
        <v>0.08</v>
      </c>
    </row>
    <row r="10" spans="1:12" x14ac:dyDescent="0.35">
      <c r="A10" s="1" t="s">
        <v>78</v>
      </c>
      <c r="B10">
        <v>0.03</v>
      </c>
    </row>
    <row r="11" spans="1:12" x14ac:dyDescent="0.35">
      <c r="A11" s="1" t="s">
        <v>95</v>
      </c>
      <c r="B11">
        <v>0.2</v>
      </c>
    </row>
    <row r="12" spans="1:12" x14ac:dyDescent="0.35">
      <c r="A12" s="1" t="s">
        <v>96</v>
      </c>
      <c r="B12">
        <f>1-B10/B11</f>
        <v>0.85</v>
      </c>
    </row>
    <row r="13" spans="1:12" x14ac:dyDescent="0.35">
      <c r="A13" s="1" t="s">
        <v>97</v>
      </c>
      <c r="B13">
        <f>L3*(1+B10)*B12</f>
        <v>11.000608020353734</v>
      </c>
    </row>
    <row r="14" spans="1:12" x14ac:dyDescent="0.35">
      <c r="A14" s="1" t="s">
        <v>98</v>
      </c>
      <c r="B14">
        <f>B13/(B8-B10)</f>
        <v>301.56235307558393</v>
      </c>
    </row>
    <row r="15" spans="1:12" x14ac:dyDescent="0.35">
      <c r="A15" s="1" t="s">
        <v>56</v>
      </c>
      <c r="B15">
        <f>B14*L6</f>
        <v>158.43648183492547</v>
      </c>
    </row>
    <row r="16" spans="1:12" x14ac:dyDescent="0.35">
      <c r="A16" s="1" t="s">
        <v>99</v>
      </c>
      <c r="B16">
        <f>SUM(C7:L7)</f>
        <v>40.324199503542921</v>
      </c>
    </row>
    <row r="17" spans="1:2" x14ac:dyDescent="0.35">
      <c r="A17" s="1" t="s">
        <v>67</v>
      </c>
      <c r="B17">
        <f>B16+B15</f>
        <v>198.7606813384684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65.8935546875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898.3441610595703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927.20916105957031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8.2798360574686587</v>
      </c>
    </row>
    <row r="11" spans="1:7" x14ac:dyDescent="0.35">
      <c r="A11" s="1" t="s">
        <v>110</v>
      </c>
      <c r="B11">
        <v>4.5</v>
      </c>
    </row>
    <row r="12" spans="1:7" x14ac:dyDescent="0.35">
      <c r="A12" s="1" t="s">
        <v>111</v>
      </c>
      <c r="B12">
        <f>B11*B9</f>
        <v>503.928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1016.4815442807617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484.42354428076169</v>
      </c>
    </row>
    <row r="21" spans="1:7" x14ac:dyDescent="0.35">
      <c r="A21" s="1" t="s">
        <v>41</v>
      </c>
      <c r="C21">
        <f>'DCF Base'!C4</f>
        <v>642.5</v>
      </c>
      <c r="D21">
        <f>'DCF Base'!D4</f>
        <v>679.82720946465338</v>
      </c>
      <c r="E21">
        <f>'DCF Base'!E4</f>
        <v>719.32301125058007</v>
      </c>
      <c r="F21">
        <f>'DCF Base'!F4</f>
        <v>761.11339368434756</v>
      </c>
      <c r="G21">
        <f>'DCF Base'!G4</f>
        <v>805.33166461416681</v>
      </c>
    </row>
    <row r="22" spans="1:7" x14ac:dyDescent="0.35">
      <c r="A22" s="1" t="s">
        <v>120</v>
      </c>
      <c r="C22">
        <f>'DCF Base'!C6+C21*(B39-B38)</f>
        <v>114.90614450349602</v>
      </c>
      <c r="D22">
        <f>'DCF Base'!D6+D21*(B39-B38)</f>
        <v>124.49511982082481</v>
      </c>
      <c r="E22">
        <f>'DCF Base'!E6+E21*(B39-B38)</f>
        <v>133.26916406523574</v>
      </c>
      <c r="F22">
        <f>'DCF Base'!F6+F21*(B39-B38)</f>
        <v>142.64249549073159</v>
      </c>
      <c r="G22">
        <f>'DCF Base'!G6+G21*(B39-B38)</f>
        <v>152.65513294758597</v>
      </c>
    </row>
    <row r="23" spans="1:7" x14ac:dyDescent="0.35">
      <c r="A23" s="1" t="s">
        <v>121</v>
      </c>
      <c r="C23">
        <f>'DCF Base'!C11</f>
        <v>65.086728601006627</v>
      </c>
      <c r="D23">
        <f>'DCF Base'!D11</f>
        <v>71.111296628614184</v>
      </c>
      <c r="E23">
        <f>'DCF Base'!E11</f>
        <v>76.429417459616076</v>
      </c>
      <c r="F23">
        <f>'DCF Base'!F11</f>
        <v>82.125452389621302</v>
      </c>
      <c r="G23">
        <f>'DCF Base'!G11</f>
        <v>90.890754739313536</v>
      </c>
    </row>
    <row r="24" spans="1:7" x14ac:dyDescent="0.35">
      <c r="A24" s="1" t="s">
        <v>122</v>
      </c>
      <c r="C24">
        <f>B15*B12</f>
        <v>39.507955199999998</v>
      </c>
      <c r="D24">
        <f>B15*C29</f>
        <v>36.790171917194677</v>
      </c>
      <c r="E24">
        <f>B15*D29</f>
        <v>33.435995359808537</v>
      </c>
      <c r="F24">
        <f>B15*E29</f>
        <v>29.462393198855555</v>
      </c>
      <c r="G24">
        <f>B15*F29</f>
        <v>24.802343484137754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30.421125503999999</v>
      </c>
      <c r="D26">
        <f>D24*(1-D25)</f>
        <v>28.328432376239903</v>
      </c>
      <c r="E26">
        <f>E24*(1-E25)</f>
        <v>25.745716427052574</v>
      </c>
      <c r="F26">
        <f>F24*(1-F25)</f>
        <v>22.686042763118778</v>
      </c>
      <c r="G26">
        <f>G24*(1-G25)</f>
        <v>19.097804482786071</v>
      </c>
    </row>
    <row r="27" spans="1:7" x14ac:dyDescent="0.35">
      <c r="A27" s="1" t="s">
        <v>124</v>
      </c>
      <c r="C27">
        <f>C23-C26</f>
        <v>34.665603097006624</v>
      </c>
      <c r="D27">
        <f>D23-D26</f>
        <v>42.782864252374281</v>
      </c>
      <c r="E27">
        <f>E23-E26</f>
        <v>50.683701032563505</v>
      </c>
      <c r="F27">
        <f>F23-F26</f>
        <v>59.439409626502524</v>
      </c>
      <c r="G27">
        <f>G23-G26</f>
        <v>71.792950256527462</v>
      </c>
    </row>
    <row r="28" spans="1:7" x14ac:dyDescent="0.35">
      <c r="A28" s="1" t="s">
        <v>125</v>
      </c>
      <c r="C28">
        <f>IF(C27&gt;B12,B12,C27)</f>
        <v>34.665603097006624</v>
      </c>
      <c r="D28">
        <f>IF(D27&gt;C29,C29,D27)</f>
        <v>42.782864252374281</v>
      </c>
      <c r="E28">
        <f>IF(E27&gt;D29,D29,E27)</f>
        <v>50.683701032563505</v>
      </c>
      <c r="F28">
        <f>IF(F27&gt;E29,E29,F27)</f>
        <v>59.439409626502524</v>
      </c>
      <c r="G28">
        <f>IF(G27&gt;F29,F29,G27)</f>
        <v>71.792950256527462</v>
      </c>
    </row>
    <row r="29" spans="1:7" x14ac:dyDescent="0.35">
      <c r="A29" s="1" t="s">
        <v>126</v>
      </c>
      <c r="B29">
        <f>B12</f>
        <v>503.928</v>
      </c>
      <c r="C29">
        <f>B12-C28</f>
        <v>469.26239690299337</v>
      </c>
      <c r="D29">
        <f>C29-D28</f>
        <v>426.47953265061909</v>
      </c>
      <c r="E29">
        <f>D29-E28</f>
        <v>375.79583161805556</v>
      </c>
      <c r="F29">
        <f>E29-F28</f>
        <v>316.35642199155302</v>
      </c>
      <c r="G29">
        <f>F29-G28</f>
        <v>244.56347173502556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30</v>
      </c>
      <c r="E30">
        <f>D30+E27-E28</f>
        <v>30</v>
      </c>
      <c r="F30">
        <f>E30+F27-F28</f>
        <v>30</v>
      </c>
      <c r="G30">
        <f>F30+G27-G28</f>
        <v>30</v>
      </c>
    </row>
    <row r="31" spans="1:7" x14ac:dyDescent="0.35">
      <c r="A31" s="1" t="s">
        <v>128</v>
      </c>
      <c r="B31">
        <v>11.090646475186521</v>
      </c>
    </row>
    <row r="32" spans="1:7" x14ac:dyDescent="0.35">
      <c r="A32" s="1" t="s">
        <v>129</v>
      </c>
      <c r="B32">
        <f>B31*G22</f>
        <v>1693.0441121442741</v>
      </c>
    </row>
    <row r="33" spans="1:2" x14ac:dyDescent="0.35">
      <c r="A33" s="1" t="s">
        <v>130</v>
      </c>
      <c r="B33">
        <f>B32-G29+G30</f>
        <v>1478.4806404092485</v>
      </c>
    </row>
    <row r="34" spans="1:2" x14ac:dyDescent="0.35">
      <c r="A34" s="1" t="s">
        <v>131</v>
      </c>
      <c r="B34">
        <f>B33/B20</f>
        <v>3.0520412516373323</v>
      </c>
    </row>
    <row r="35" spans="1:2" x14ac:dyDescent="0.35">
      <c r="A35" s="1" t="s">
        <v>132</v>
      </c>
      <c r="B35">
        <f>B34^(1/5)-1</f>
        <v>0.25002321847155828</v>
      </c>
    </row>
    <row r="36" spans="1:2" x14ac:dyDescent="0.35">
      <c r="A36" s="1" t="s">
        <v>133</v>
      </c>
      <c r="B36">
        <v>0.25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75.859375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1034.2108103906251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1063.0758103906251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9.4931044648398437</v>
      </c>
    </row>
    <row r="11" spans="1:7" x14ac:dyDescent="0.35">
      <c r="A11" s="1" t="s">
        <v>110</v>
      </c>
      <c r="B11">
        <v>5</v>
      </c>
    </row>
    <row r="12" spans="1:7" x14ac:dyDescent="0.35">
      <c r="A12" s="1" t="s">
        <v>111</v>
      </c>
      <c r="B12">
        <f>B11*B9</f>
        <v>559.91999999999996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1156.4653265984377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568.41532659843779</v>
      </c>
    </row>
    <row r="21" spans="1:7" x14ac:dyDescent="0.35">
      <c r="A21" s="1" t="s">
        <v>41</v>
      </c>
      <c r="C21">
        <f>'DCF Base'!C4</f>
        <v>642.5</v>
      </c>
      <c r="D21">
        <f>'DCF Base'!D4</f>
        <v>679.82720946465338</v>
      </c>
      <c r="E21">
        <f>'DCF Base'!E4</f>
        <v>719.32301125058007</v>
      </c>
      <c r="F21">
        <f>'DCF Base'!F4</f>
        <v>761.11339368434756</v>
      </c>
      <c r="G21">
        <f>'DCF Base'!G4</f>
        <v>805.33166461416681</v>
      </c>
    </row>
    <row r="22" spans="1:7" x14ac:dyDescent="0.35">
      <c r="A22" s="1" t="s">
        <v>120</v>
      </c>
      <c r="C22">
        <f>'DCF Base'!C6+C21*(B39-B38)</f>
        <v>114.90614450349602</v>
      </c>
      <c r="D22">
        <f>'DCF Base'!D6+D21*(B39-B38)</f>
        <v>124.49511982082481</v>
      </c>
      <c r="E22">
        <f>'DCF Base'!E6+E21*(B39-B38)</f>
        <v>133.26916406523574</v>
      </c>
      <c r="F22">
        <f>'DCF Base'!F6+F21*(B39-B38)</f>
        <v>142.64249549073159</v>
      </c>
      <c r="G22">
        <f>'DCF Base'!G6+G21*(B39-B38)</f>
        <v>152.65513294758597</v>
      </c>
    </row>
    <row r="23" spans="1:7" x14ac:dyDescent="0.35">
      <c r="A23" s="1" t="s">
        <v>121</v>
      </c>
      <c r="C23">
        <f>'DCF Base'!C11</f>
        <v>65.086728601006627</v>
      </c>
      <c r="D23">
        <f>'DCF Base'!D11</f>
        <v>71.111296628614184</v>
      </c>
      <c r="E23">
        <f>'DCF Base'!E11</f>
        <v>76.429417459616076</v>
      </c>
      <c r="F23">
        <f>'DCF Base'!F11</f>
        <v>82.125452389621302</v>
      </c>
      <c r="G23">
        <f>'DCF Base'!G11</f>
        <v>90.890754739313536</v>
      </c>
    </row>
    <row r="24" spans="1:7" x14ac:dyDescent="0.35">
      <c r="A24" s="1" t="s">
        <v>122</v>
      </c>
      <c r="C24">
        <f>B15*B12</f>
        <v>43.897727999999994</v>
      </c>
      <c r="D24">
        <f>B15*C29</f>
        <v>41.444946521585074</v>
      </c>
      <c r="E24">
        <f>B15*D29</f>
        <v>38.371769397516772</v>
      </c>
      <c r="F24">
        <f>B15*E29</f>
        <v>34.696130043672163</v>
      </c>
      <c r="G24">
        <f>B15*F29</f>
        <v>30.352030554802255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33.801250559999993</v>
      </c>
      <c r="D26">
        <f>D24*(1-D25)</f>
        <v>31.912608821620509</v>
      </c>
      <c r="E26">
        <f>E24*(1-E25)</f>
        <v>29.546262436087915</v>
      </c>
      <c r="F26">
        <f>F24*(1-F25)</f>
        <v>26.716020133627566</v>
      </c>
      <c r="G26">
        <f>G24*(1-G25)</f>
        <v>23.371063527197737</v>
      </c>
    </row>
    <row r="27" spans="1:7" x14ac:dyDescent="0.35">
      <c r="A27" s="1" t="s">
        <v>124</v>
      </c>
      <c r="C27">
        <f>C23-C26</f>
        <v>31.285478041006634</v>
      </c>
      <c r="D27">
        <f>D23-D26</f>
        <v>39.198687806993675</v>
      </c>
      <c r="E27">
        <f>E23-E26</f>
        <v>46.883155023528161</v>
      </c>
      <c r="F27">
        <f>F23-F26</f>
        <v>55.409432255993735</v>
      </c>
      <c r="G27">
        <f>G23-G26</f>
        <v>67.519691212115802</v>
      </c>
    </row>
    <row r="28" spans="1:7" x14ac:dyDescent="0.35">
      <c r="A28" s="1" t="s">
        <v>125</v>
      </c>
      <c r="C28">
        <f>IF(C27&gt;B12,B12,C27)</f>
        <v>31.285478041006634</v>
      </c>
      <c r="D28">
        <f>IF(D27&gt;C29,C29,D27)</f>
        <v>39.198687806993675</v>
      </c>
      <c r="E28">
        <f>IF(E27&gt;D29,D29,E27)</f>
        <v>46.883155023528161</v>
      </c>
      <c r="F28">
        <f>IF(F27&gt;E29,E29,F27)</f>
        <v>55.409432255993735</v>
      </c>
      <c r="G28">
        <f>IF(G27&gt;F29,F29,G27)</f>
        <v>67.519691212115802</v>
      </c>
    </row>
    <row r="29" spans="1:7" x14ac:dyDescent="0.35">
      <c r="A29" s="1" t="s">
        <v>126</v>
      </c>
      <c r="B29">
        <f>B12</f>
        <v>559.91999999999996</v>
      </c>
      <c r="C29">
        <f>B12-C28</f>
        <v>528.63452195899333</v>
      </c>
      <c r="D29">
        <f>C29-D28</f>
        <v>489.43583415199964</v>
      </c>
      <c r="E29">
        <f>D29-E28</f>
        <v>442.55267912847148</v>
      </c>
      <c r="F29">
        <f>E29-F28</f>
        <v>387.14324687247773</v>
      </c>
      <c r="G29">
        <f>F29-G28</f>
        <v>319.62355566036194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30</v>
      </c>
      <c r="E30">
        <f>D30+E27-E28</f>
        <v>30</v>
      </c>
      <c r="F30">
        <f>E30+F27-F28</f>
        <v>30</v>
      </c>
      <c r="G30">
        <f>F30+G27-G28</f>
        <v>30</v>
      </c>
    </row>
    <row r="31" spans="1:7" x14ac:dyDescent="0.35">
      <c r="A31" s="1" t="s">
        <v>128</v>
      </c>
      <c r="B31">
        <v>11.162988929834521</v>
      </c>
    </row>
    <row r="32" spans="1:7" x14ac:dyDescent="0.35">
      <c r="A32" s="1" t="s">
        <v>129</v>
      </c>
      <c r="B32">
        <f>B31*G22</f>
        <v>1704.0875591763192</v>
      </c>
    </row>
    <row r="33" spans="1:2" x14ac:dyDescent="0.35">
      <c r="A33" s="1" t="s">
        <v>130</v>
      </c>
      <c r="B33">
        <f>B32-G29+G30</f>
        <v>1414.4640035159573</v>
      </c>
    </row>
    <row r="34" spans="1:2" x14ac:dyDescent="0.35">
      <c r="A34" s="1" t="s">
        <v>131</v>
      </c>
      <c r="B34">
        <f>B33/B20</f>
        <v>2.488433962505058</v>
      </c>
    </row>
    <row r="35" spans="1:2" x14ac:dyDescent="0.35">
      <c r="A35" s="1" t="s">
        <v>132</v>
      </c>
      <c r="B35">
        <f>B34^(1/5)-1</f>
        <v>0.20001099155260116</v>
      </c>
    </row>
    <row r="36" spans="1:2" x14ac:dyDescent="0.35">
      <c r="A36" s="1" t="s">
        <v>133</v>
      </c>
      <c r="B36">
        <v>0.2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107.8955078125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1470.9678345263671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1499.8328345263672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13.393277919402479</v>
      </c>
    </row>
    <row r="11" spans="1:7" x14ac:dyDescent="0.35">
      <c r="A11" s="1" t="s">
        <v>110</v>
      </c>
      <c r="B11">
        <v>5.5</v>
      </c>
    </row>
    <row r="12" spans="1:7" x14ac:dyDescent="0.35">
      <c r="A12" s="1" t="s">
        <v>111</v>
      </c>
      <c r="B12">
        <f>B11*B9</f>
        <v>615.91199999999992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1603.3572912168945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959.31529121689459</v>
      </c>
    </row>
    <row r="21" spans="1:7" x14ac:dyDescent="0.35">
      <c r="A21" s="1" t="s">
        <v>41</v>
      </c>
      <c r="C21">
        <f>'DCF Base'!C4</f>
        <v>642.5</v>
      </c>
      <c r="D21">
        <f>'DCF Base'!D4</f>
        <v>679.82720946465338</v>
      </c>
      <c r="E21">
        <f>'DCF Base'!E4</f>
        <v>719.32301125058007</v>
      </c>
      <c r="F21">
        <f>'DCF Base'!F4</f>
        <v>761.11339368434756</v>
      </c>
      <c r="G21">
        <f>'DCF Base'!G4</f>
        <v>805.33166461416681</v>
      </c>
    </row>
    <row r="22" spans="1:7" x14ac:dyDescent="0.35">
      <c r="A22" s="1" t="s">
        <v>120</v>
      </c>
      <c r="C22">
        <f>'DCF Base'!C6+C21*(B39-B38)</f>
        <v>114.90614450349602</v>
      </c>
      <c r="D22">
        <f>'DCF Base'!D6+D21*(B39-B38)</f>
        <v>124.49511982082481</v>
      </c>
      <c r="E22">
        <f>'DCF Base'!E6+E21*(B39-B38)</f>
        <v>133.26916406523574</v>
      </c>
      <c r="F22">
        <f>'DCF Base'!F6+F21*(B39-B38)</f>
        <v>142.64249549073159</v>
      </c>
      <c r="G22">
        <f>'DCF Base'!G6+G21*(B39-B38)</f>
        <v>152.65513294758597</v>
      </c>
    </row>
    <row r="23" spans="1:7" x14ac:dyDescent="0.35">
      <c r="A23" s="1" t="s">
        <v>121</v>
      </c>
      <c r="C23">
        <f>'DCF Base'!C11</f>
        <v>65.086728601006627</v>
      </c>
      <c r="D23">
        <f>'DCF Base'!D11</f>
        <v>71.111296628614184</v>
      </c>
      <c r="E23">
        <f>'DCF Base'!E11</f>
        <v>76.429417459616076</v>
      </c>
      <c r="F23">
        <f>'DCF Base'!F11</f>
        <v>82.125452389621302</v>
      </c>
      <c r="G23">
        <f>'DCF Base'!G11</f>
        <v>90.890754739313536</v>
      </c>
    </row>
    <row r="24" spans="1:7" x14ac:dyDescent="0.35">
      <c r="A24" s="1" t="s">
        <v>122</v>
      </c>
      <c r="C24">
        <f>B15*B12</f>
        <v>48.287500799999989</v>
      </c>
      <c r="D24">
        <f>B15*C29</f>
        <v>46.099721125975471</v>
      </c>
      <c r="E24">
        <f>B15*D29</f>
        <v>43.307543435225007</v>
      </c>
      <c r="F24">
        <f>B15*E29</f>
        <v>39.929866888488775</v>
      </c>
      <c r="G24">
        <f>B15*F29</f>
        <v>35.901717625466752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37.18137561599999</v>
      </c>
      <c r="D26">
        <f>D24*(1-D25)</f>
        <v>35.496785267001115</v>
      </c>
      <c r="E26">
        <f>E24*(1-E25)</f>
        <v>33.346808445123258</v>
      </c>
      <c r="F26">
        <f>F24*(1-F25)</f>
        <v>30.745997504136358</v>
      </c>
      <c r="G26">
        <f>G24*(1-G25)</f>
        <v>27.644322571609401</v>
      </c>
    </row>
    <row r="27" spans="1:7" x14ac:dyDescent="0.35">
      <c r="A27" s="1" t="s">
        <v>124</v>
      </c>
      <c r="C27">
        <f>C23-C26</f>
        <v>27.905352985006637</v>
      </c>
      <c r="D27">
        <f>D23-D26</f>
        <v>35.614511361613069</v>
      </c>
      <c r="E27">
        <f>E23-E26</f>
        <v>43.082609014492817</v>
      </c>
      <c r="F27">
        <f>F23-F26</f>
        <v>51.379454885484947</v>
      </c>
      <c r="G27">
        <f>G23-G26</f>
        <v>63.246432167704135</v>
      </c>
    </row>
    <row r="28" spans="1:7" x14ac:dyDescent="0.35">
      <c r="A28" s="1" t="s">
        <v>125</v>
      </c>
      <c r="C28">
        <f>IF(C27&gt;B12,B12,C27)</f>
        <v>27.905352985006637</v>
      </c>
      <c r="D28">
        <f>IF(D27&gt;C29,C29,D27)</f>
        <v>35.614511361613069</v>
      </c>
      <c r="E28">
        <f>IF(E27&gt;D29,D29,E27)</f>
        <v>43.082609014492817</v>
      </c>
      <c r="F28">
        <f>IF(F27&gt;E29,E29,F27)</f>
        <v>51.379454885484947</v>
      </c>
      <c r="G28">
        <f>IF(G27&gt;F29,F29,G27)</f>
        <v>63.246432167704135</v>
      </c>
    </row>
    <row r="29" spans="1:7" x14ac:dyDescent="0.35">
      <c r="A29" s="1" t="s">
        <v>126</v>
      </c>
      <c r="B29">
        <f>B12</f>
        <v>615.91199999999992</v>
      </c>
      <c r="C29">
        <f>B12-C28</f>
        <v>588.00664701499329</v>
      </c>
      <c r="D29">
        <f>C29-D28</f>
        <v>552.39213565338025</v>
      </c>
      <c r="E29">
        <f>D29-E28</f>
        <v>509.30952663888741</v>
      </c>
      <c r="F29">
        <f>E29-F28</f>
        <v>457.93007175340244</v>
      </c>
      <c r="G29">
        <f>F29-G28</f>
        <v>394.6836395856983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30</v>
      </c>
      <c r="E30">
        <f>D30+E27-E28</f>
        <v>30</v>
      </c>
      <c r="F30">
        <f>E30+F27-F28</f>
        <v>30</v>
      </c>
      <c r="G30">
        <f>F30+G27-G28</f>
        <v>30.000000000000007</v>
      </c>
    </row>
    <row r="31" spans="1:7" x14ac:dyDescent="0.35">
      <c r="A31" s="1" t="s">
        <v>128</v>
      </c>
      <c r="B31">
        <v>16.46425504632656</v>
      </c>
    </row>
    <row r="32" spans="1:7" x14ac:dyDescent="0.35">
      <c r="A32" s="1" t="s">
        <v>129</v>
      </c>
      <c r="B32">
        <f>B31*G22</f>
        <v>2513.3530429799443</v>
      </c>
    </row>
    <row r="33" spans="1:2" x14ac:dyDescent="0.35">
      <c r="A33" s="1" t="s">
        <v>130</v>
      </c>
      <c r="B33">
        <f>B32-G29+G30</f>
        <v>2148.6694033942458</v>
      </c>
    </row>
    <row r="34" spans="1:2" x14ac:dyDescent="0.35">
      <c r="A34" s="1" t="s">
        <v>131</v>
      </c>
      <c r="B34">
        <f>B33/B20</f>
        <v>2.2397948026749908</v>
      </c>
    </row>
    <row r="35" spans="1:2" x14ac:dyDescent="0.35">
      <c r="A35" s="1" t="s">
        <v>132</v>
      </c>
      <c r="B35">
        <f>B34^(1/5)-1</f>
        <v>0.17501022671377831</v>
      </c>
    </row>
    <row r="36" spans="1:2" x14ac:dyDescent="0.35">
      <c r="A36" s="1" t="s">
        <v>133</v>
      </c>
      <c r="B36">
        <v>0.17499999999999999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10.362903225806452</v>
      </c>
      <c r="D4">
        <f>D2*B10*D3</f>
        <v>21.929909982730752</v>
      </c>
      <c r="E4">
        <f>E2*B10*E3</f>
        <v>23.20396810485742</v>
      </c>
      <c r="F4">
        <f>F2*B10*F3</f>
        <v>24.552044957559598</v>
      </c>
      <c r="G4">
        <f>G2*B10*G3</f>
        <v>25.97844079400538</v>
      </c>
      <c r="H4">
        <f>H2*B10*H3</f>
        <v>27.315744921502798</v>
      </c>
      <c r="I4">
        <f>I2*B10*I3</f>
        <v>28.541077186936949</v>
      </c>
      <c r="J4">
        <f>J2*B10*J3</f>
        <v>29.632451720774394</v>
      </c>
      <c r="K4">
        <f>K2*B10*K3</f>
        <v>30.569411022063832</v>
      </c>
      <c r="L4">
        <f>L2*B10*L3</f>
        <v>31.333646297615424</v>
      </c>
    </row>
    <row r="5" spans="1:12" x14ac:dyDescent="0.35">
      <c r="A5" s="1" t="s">
        <v>140</v>
      </c>
      <c r="C5">
        <f>0.5*B11*D2*B10</f>
        <v>10.964954991365376</v>
      </c>
      <c r="D5">
        <f>0.5*B11*D2*B10</f>
        <v>10.964954991365376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-0.46357985948037161</v>
      </c>
      <c r="D7">
        <f t="shared" si="0"/>
        <v>8.4430153433513393</v>
      </c>
      <c r="E7">
        <f t="shared" si="0"/>
        <v>17.867055440740213</v>
      </c>
      <c r="F7">
        <f t="shared" si="0"/>
        <v>18.905074617320892</v>
      </c>
      <c r="G7">
        <f t="shared" si="0"/>
        <v>20.003399411384144</v>
      </c>
      <c r="H7">
        <f t="shared" si="0"/>
        <v>20.923860609871145</v>
      </c>
      <c r="I7">
        <f t="shared" si="0"/>
        <v>21.748300816445955</v>
      </c>
      <c r="J7">
        <f t="shared" si="0"/>
        <v>22.461398404346991</v>
      </c>
      <c r="K7">
        <f t="shared" si="0"/>
        <v>23.049335910636131</v>
      </c>
      <c r="L7">
        <f t="shared" si="0"/>
        <v>23.50023472321157</v>
      </c>
    </row>
    <row r="8" spans="1:12" x14ac:dyDescent="0.35">
      <c r="A8" s="1" t="s">
        <v>143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144</v>
      </c>
      <c r="C9">
        <f t="shared" ref="C9:L9" si="1">C7*C8</f>
        <v>-0.43163308917004989</v>
      </c>
      <c r="D9">
        <f t="shared" si="1"/>
        <v>7.3194411020804484</v>
      </c>
      <c r="E9">
        <f t="shared" si="1"/>
        <v>14.42193380730893</v>
      </c>
      <c r="F9">
        <f t="shared" si="1"/>
        <v>14.208200588107843</v>
      </c>
      <c r="G9">
        <f t="shared" si="1"/>
        <v>13.997634897589135</v>
      </c>
      <c r="H9">
        <f t="shared" si="1"/>
        <v>13.632730332125718</v>
      </c>
      <c r="I9">
        <f t="shared" si="1"/>
        <v>13.193393881419468</v>
      </c>
      <c r="J9">
        <f t="shared" si="1"/>
        <v>12.686977186893818</v>
      </c>
      <c r="K9">
        <f t="shared" si="1"/>
        <v>12.121879317361898</v>
      </c>
      <c r="L9">
        <f t="shared" si="1"/>
        <v>11.507312569300304</v>
      </c>
    </row>
    <row r="10" spans="1:12" x14ac:dyDescent="0.35">
      <c r="A10" s="1" t="s">
        <v>145</v>
      </c>
      <c r="B10">
        <v>3.2258064516129031E-2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7.4013719318297547E-2</v>
      </c>
    </row>
    <row r="14" spans="1:12" x14ac:dyDescent="0.35">
      <c r="A14" s="1" t="s">
        <v>149</v>
      </c>
      <c r="B14">
        <f>L4*(1+B12)*(1-'DCF Base'!M7)/(B13-B12)</f>
        <v>491.44894381234081</v>
      </c>
    </row>
    <row r="15" spans="1:12" x14ac:dyDescent="0.35">
      <c r="A15" s="1" t="s">
        <v>56</v>
      </c>
      <c r="B15">
        <f>B14*L8</f>
        <v>240.64681374077162</v>
      </c>
    </row>
    <row r="16" spans="1:12" x14ac:dyDescent="0.35">
      <c r="A16" s="1" t="s">
        <v>150</v>
      </c>
      <c r="B16">
        <f>SUM(C9:L9)</f>
        <v>112.65787059301752</v>
      </c>
    </row>
    <row r="17" spans="1:2" x14ac:dyDescent="0.35">
      <c r="A17" s="1" t="s">
        <v>151</v>
      </c>
      <c r="B17">
        <f>B16+B15</f>
        <v>353.30468433378917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25.914902715057224</v>
      </c>
    </row>
    <row r="20" spans="1:2" x14ac:dyDescent="0.35">
      <c r="A20" s="1" t="s">
        <v>154</v>
      </c>
      <c r="B20">
        <f>'DCF Base'!B30</f>
        <v>125.33517043256788</v>
      </c>
    </row>
    <row r="21" spans="1:2" x14ac:dyDescent="0.35">
      <c r="A21" s="1" t="s">
        <v>155</v>
      </c>
      <c r="B21">
        <f>B20+B19</f>
        <v>151.2500731476251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15.485212540896903</v>
      </c>
      <c r="D4">
        <f>D2*B10*D3</f>
        <v>32.769708419128392</v>
      </c>
      <c r="E4">
        <f>E2*B10*E3</f>
        <v>34.673524403963292</v>
      </c>
      <c r="F4">
        <f>F2*B10*F3</f>
        <v>36.687946051129835</v>
      </c>
      <c r="G4">
        <f>G2*B10*G3</f>
        <v>38.81939919833362</v>
      </c>
      <c r="H4">
        <f>H2*B10*H3</f>
        <v>40.81772323889269</v>
      </c>
      <c r="I4">
        <f>I2*B10*I3</f>
        <v>42.648728522838098</v>
      </c>
      <c r="J4">
        <f>J2*B10*J3</f>
        <v>44.279561721792334</v>
      </c>
      <c r="K4">
        <f>K2*B10*K3</f>
        <v>45.67965333767328</v>
      </c>
      <c r="L4">
        <f>L2*B10*L3</f>
        <v>46.821644671115109</v>
      </c>
    </row>
    <row r="5" spans="1:12" x14ac:dyDescent="0.35">
      <c r="A5" s="1" t="s">
        <v>140</v>
      </c>
      <c r="C5">
        <f>0.5*B11*D2*B10</f>
        <v>16.384854209564196</v>
      </c>
      <c r="D5">
        <f>0.5*B11*D2*B10</f>
        <v>16.384854209564196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-0.69272408487381565</v>
      </c>
      <c r="D7">
        <f t="shared" si="0"/>
        <v>12.616337741364431</v>
      </c>
      <c r="E7">
        <f t="shared" si="0"/>
        <v>26.698613791051734</v>
      </c>
      <c r="F7">
        <f t="shared" si="0"/>
        <v>28.249718459369973</v>
      </c>
      <c r="G7">
        <f t="shared" si="0"/>
        <v>29.890937382716888</v>
      </c>
      <c r="H7">
        <f t="shared" si="0"/>
        <v>31.266376000991801</v>
      </c>
      <c r="I7">
        <f t="shared" si="0"/>
        <v>32.498331134402633</v>
      </c>
      <c r="J7">
        <f t="shared" si="0"/>
        <v>33.563907785118587</v>
      </c>
      <c r="K7">
        <f t="shared" si="0"/>
        <v>34.442458616605656</v>
      </c>
      <c r="L7">
        <f t="shared" si="0"/>
        <v>35.116233503336332</v>
      </c>
    </row>
    <row r="8" spans="1:12" x14ac:dyDescent="0.35">
      <c r="A8" s="1" t="s">
        <v>143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144</v>
      </c>
      <c r="C9">
        <f t="shared" ref="C9:L9" si="1">C7*C8</f>
        <v>-0.64498625335391846</v>
      </c>
      <c r="D9">
        <f t="shared" si="1"/>
        <v>10.937388748747283</v>
      </c>
      <c r="E9">
        <f t="shared" si="1"/>
        <v>21.550593052030145</v>
      </c>
      <c r="F9">
        <f t="shared" si="1"/>
        <v>21.231213023648046</v>
      </c>
      <c r="G9">
        <f t="shared" si="1"/>
        <v>20.916566210833764</v>
      </c>
      <c r="H9">
        <f t="shared" si="1"/>
        <v>20.371291915569376</v>
      </c>
      <c r="I9">
        <f t="shared" si="1"/>
        <v>19.714794583894243</v>
      </c>
      <c r="J9">
        <f t="shared" si="1"/>
        <v>18.95805972126815</v>
      </c>
      <c r="K9">
        <f t="shared" si="1"/>
        <v>18.113637996445103</v>
      </c>
      <c r="L9">
        <f t="shared" si="1"/>
        <v>17.195295278489148</v>
      </c>
    </row>
    <row r="10" spans="1:12" x14ac:dyDescent="0.35">
      <c r="A10" s="1" t="s">
        <v>145</v>
      </c>
      <c r="B10">
        <v>4.8202996236254951E-2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7.4013719318297547E-2</v>
      </c>
    </row>
    <row r="14" spans="1:12" x14ac:dyDescent="0.35">
      <c r="A14" s="1" t="s">
        <v>149</v>
      </c>
      <c r="B14">
        <f>L4*(1+B12)*(1-'DCF Base'!M7)/(B13-B12)</f>
        <v>734.36865925582993</v>
      </c>
    </row>
    <row r="15" spans="1:12" x14ac:dyDescent="0.35">
      <c r="A15" s="1" t="s">
        <v>56</v>
      </c>
      <c r="B15">
        <f>B14*L8</f>
        <v>359.59682116740805</v>
      </c>
    </row>
    <row r="16" spans="1:12" x14ac:dyDescent="0.35">
      <c r="A16" s="1" t="s">
        <v>150</v>
      </c>
      <c r="B16">
        <f>SUM(C9:L9)</f>
        <v>168.34385427757132</v>
      </c>
    </row>
    <row r="17" spans="1:2" x14ac:dyDescent="0.35">
      <c r="A17" s="1" t="s">
        <v>151</v>
      </c>
      <c r="B17">
        <f>B16+B15</f>
        <v>527.94067544497943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38.724454699141319</v>
      </c>
    </row>
    <row r="20" spans="1:2" x14ac:dyDescent="0.35">
      <c r="A20" s="1" t="s">
        <v>154</v>
      </c>
      <c r="B20">
        <f>'DCF Base'!B30</f>
        <v>125.33517043256788</v>
      </c>
    </row>
    <row r="21" spans="1:2" x14ac:dyDescent="0.35">
      <c r="A21" s="1" t="s">
        <v>155</v>
      </c>
      <c r="B21">
        <f>B20+B19</f>
        <v>164.0596251317092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22.412790697674417</v>
      </c>
      <c r="D4">
        <f>D2*B10*D3</f>
        <v>47.429805311487442</v>
      </c>
      <c r="E4">
        <f>E2*B10*E3</f>
        <v>50.185326366319536</v>
      </c>
      <c r="F4">
        <f>F2*B10*F3</f>
        <v>53.100934443094012</v>
      </c>
      <c r="G4">
        <f>G2*B10*G3</f>
        <v>56.185930089360475</v>
      </c>
      <c r="H4">
        <f>H2*B10*H3</f>
        <v>59.078239016273493</v>
      </c>
      <c r="I4">
        <f>I2*B10*I3</f>
        <v>61.728376241514795</v>
      </c>
      <c r="J4">
        <f>J2*B10*J3</f>
        <v>64.088790930977183</v>
      </c>
      <c r="K4">
        <f>K2*B10*K3</f>
        <v>66.1152377919055</v>
      </c>
      <c r="L4">
        <f>L2*B10*L3</f>
        <v>67.76811873670313</v>
      </c>
    </row>
    <row r="5" spans="1:12" x14ac:dyDescent="0.35">
      <c r="A5" s="1" t="s">
        <v>140</v>
      </c>
      <c r="C5">
        <f>0.5*B11*D2*B10</f>
        <v>23.714902655743721</v>
      </c>
      <c r="D5">
        <f>0.5*B11*D2*B10</f>
        <v>23.714902655743721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-1.0026262077133641</v>
      </c>
      <c r="D7">
        <f t="shared" si="0"/>
        <v>18.260475044922664</v>
      </c>
      <c r="E7">
        <f t="shared" si="0"/>
        <v>38.642701302066044</v>
      </c>
      <c r="F7">
        <f t="shared" si="0"/>
        <v>40.88771952118239</v>
      </c>
      <c r="G7">
        <f t="shared" si="0"/>
        <v>43.263166168807565</v>
      </c>
      <c r="H7">
        <f t="shared" si="0"/>
        <v>45.253931086465499</v>
      </c>
      <c r="I7">
        <f t="shared" si="0"/>
        <v>47.037022696034278</v>
      </c>
      <c r="J7">
        <f t="shared" si="0"/>
        <v>48.579303525680707</v>
      </c>
      <c r="K7">
        <f t="shared" si="0"/>
        <v>49.850889295096749</v>
      </c>
      <c r="L7">
        <f t="shared" si="0"/>
        <v>50.826089052527351</v>
      </c>
    </row>
    <row r="8" spans="1:12" x14ac:dyDescent="0.35">
      <c r="A8" s="1" t="s">
        <v>143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144</v>
      </c>
      <c r="C9">
        <f t="shared" ref="C9:L9" si="1">C7*C8</f>
        <v>-0.93353203006545882</v>
      </c>
      <c r="D9">
        <f t="shared" si="1"/>
        <v>15.830419127755388</v>
      </c>
      <c r="E9">
        <f t="shared" si="1"/>
        <v>31.191624280923968</v>
      </c>
      <c r="F9">
        <f t="shared" si="1"/>
        <v>30.729364062651843</v>
      </c>
      <c r="G9">
        <f t="shared" si="1"/>
        <v>30.273954545948595</v>
      </c>
      <c r="H9">
        <f t="shared" si="1"/>
        <v>29.484742346225392</v>
      </c>
      <c r="I9">
        <f t="shared" si="1"/>
        <v>28.534549557488617</v>
      </c>
      <c r="J9">
        <f t="shared" si="1"/>
        <v>27.439276241421521</v>
      </c>
      <c r="K9">
        <f t="shared" si="1"/>
        <v>26.217087825922249</v>
      </c>
      <c r="L9">
        <f t="shared" si="1"/>
        <v>24.887908580114612</v>
      </c>
    </row>
    <row r="10" spans="1:12" x14ac:dyDescent="0.35">
      <c r="A10" s="1" t="s">
        <v>145</v>
      </c>
      <c r="B10">
        <v>6.9767441860465115E-2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7.4013719318297547E-2</v>
      </c>
    </row>
    <row r="14" spans="1:12" x14ac:dyDescent="0.35">
      <c r="A14" s="1" t="s">
        <v>149</v>
      </c>
      <c r="B14">
        <f>L4*(1+B12)*(1-'DCF Base'!M7)/(B13-B12)</f>
        <v>1062.9012040592488</v>
      </c>
    </row>
    <row r="15" spans="1:12" x14ac:dyDescent="0.35">
      <c r="A15" s="1" t="s">
        <v>56</v>
      </c>
      <c r="B15">
        <f>B14*L8</f>
        <v>520.46869018352936</v>
      </c>
    </row>
    <row r="16" spans="1:12" x14ac:dyDescent="0.35">
      <c r="A16" s="1" t="s">
        <v>150</v>
      </c>
      <c r="B16">
        <f>SUM(C9:L9)</f>
        <v>243.65539453838673</v>
      </c>
    </row>
    <row r="17" spans="1:2" x14ac:dyDescent="0.35">
      <c r="A17" s="1" t="s">
        <v>151</v>
      </c>
      <c r="B17">
        <f>B16+B15</f>
        <v>764.12408472191612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56.048510523263296</v>
      </c>
    </row>
    <row r="20" spans="1:2" x14ac:dyDescent="0.35">
      <c r="A20" s="1" t="s">
        <v>154</v>
      </c>
      <c r="B20">
        <f>'DCF Base'!B30</f>
        <v>125.33517043256788</v>
      </c>
    </row>
    <row r="21" spans="1:2" x14ac:dyDescent="0.35">
      <c r="A21" s="1" t="s">
        <v>155</v>
      </c>
      <c r="B21">
        <f>B20+B19</f>
        <v>181.38368095583118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156</v>
      </c>
      <c r="C1" s="1" t="s">
        <v>152</v>
      </c>
      <c r="D1" s="1" t="s">
        <v>157</v>
      </c>
      <c r="E1" s="1" t="s">
        <v>59</v>
      </c>
      <c r="F1" s="1" t="s">
        <v>60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  <c r="L1" s="1" t="s">
        <v>163</v>
      </c>
      <c r="M1" s="1" t="s">
        <v>164</v>
      </c>
      <c r="N1" s="1" t="s">
        <v>165</v>
      </c>
      <c r="O1" s="1" t="s">
        <v>166</v>
      </c>
    </row>
    <row r="2" spans="1:15" x14ac:dyDescent="0.35">
      <c r="A2" s="1" t="s">
        <v>167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168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169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170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171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172</v>
      </c>
      <c r="C1" s="1" t="s">
        <v>173</v>
      </c>
      <c r="D1" s="1" t="s">
        <v>174</v>
      </c>
    </row>
    <row r="2" spans="1:4" x14ac:dyDescent="0.35">
      <c r="A2" s="1" t="s">
        <v>175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176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108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59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60</v>
      </c>
      <c r="B6">
        <v>58.13</v>
      </c>
      <c r="C6">
        <v>58.13</v>
      </c>
      <c r="D6">
        <v>58.13</v>
      </c>
    </row>
    <row r="7" spans="1:4" x14ac:dyDescent="0.35">
      <c r="A7" s="1" t="s">
        <v>177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178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179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180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67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188</v>
      </c>
      <c r="C1" s="1" t="s">
        <v>189</v>
      </c>
      <c r="D1" s="1" t="s">
        <v>190</v>
      </c>
      <c r="E1" s="1" t="s">
        <v>191</v>
      </c>
      <c r="F1" s="1" t="s">
        <v>192</v>
      </c>
      <c r="G1" s="1" t="s">
        <v>193</v>
      </c>
      <c r="H1" s="1" t="s">
        <v>194</v>
      </c>
      <c r="I1" s="1" t="s">
        <v>195</v>
      </c>
    </row>
    <row r="2" spans="1:9" x14ac:dyDescent="0.35">
      <c r="A2" s="1" t="s">
        <v>196</v>
      </c>
      <c r="B2" t="s">
        <v>181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197</v>
      </c>
      <c r="B3" t="s">
        <v>182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198</v>
      </c>
      <c r="B4" t="s">
        <v>183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1</v>
      </c>
    </row>
    <row r="5" spans="1:9" x14ac:dyDescent="0.35">
      <c r="A5" s="1" t="s">
        <v>199</v>
      </c>
      <c r="B5" t="s">
        <v>184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200</v>
      </c>
      <c r="B6" t="s">
        <v>185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201</v>
      </c>
      <c r="B7" t="s">
        <v>186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202</v>
      </c>
      <c r="B8" t="s">
        <v>187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172</v>
      </c>
      <c r="C1" s="1" t="s">
        <v>173</v>
      </c>
      <c r="D1" s="1" t="s">
        <v>174</v>
      </c>
    </row>
    <row r="2" spans="1:4" x14ac:dyDescent="0.35">
      <c r="A2" s="1" t="s">
        <v>108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59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60</v>
      </c>
      <c r="B4">
        <v>58.13</v>
      </c>
      <c r="C4">
        <v>58.13</v>
      </c>
      <c r="D4">
        <v>58.13</v>
      </c>
    </row>
    <row r="5" spans="1:4" x14ac:dyDescent="0.35">
      <c r="A5" s="1" t="s">
        <v>177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203</v>
      </c>
      <c r="B6">
        <v>10.68376068376068</v>
      </c>
      <c r="C6">
        <v>11.83333333333333</v>
      </c>
      <c r="D6">
        <v>12.5</v>
      </c>
    </row>
    <row r="7" spans="1:4" x14ac:dyDescent="0.35">
      <c r="A7" s="1" t="s">
        <v>179</v>
      </c>
      <c r="B7">
        <f>B2*B6</f>
        <v>1196.4102564102559</v>
      </c>
      <c r="C7">
        <f>C2*C6</f>
        <v>1325.1439999999996</v>
      </c>
      <c r="D7">
        <f>D2*D6</f>
        <v>1399.8</v>
      </c>
    </row>
    <row r="8" spans="1:4" x14ac:dyDescent="0.35">
      <c r="A8" s="1" t="s">
        <v>180</v>
      </c>
      <c r="B8">
        <f>B7-B3+B4</f>
        <v>1167.5452564102561</v>
      </c>
      <c r="C8">
        <f>C7-C3+C4</f>
        <v>1296.2789999999995</v>
      </c>
      <c r="D8">
        <f>D7-D3+D4</f>
        <v>1370.9349999999999</v>
      </c>
    </row>
    <row r="9" spans="1:4" x14ac:dyDescent="0.35">
      <c r="A9" s="1" t="s">
        <v>67</v>
      </c>
      <c r="B9">
        <f>B8/B5</f>
        <v>85.639458170084168</v>
      </c>
      <c r="C9">
        <f>C8/C5</f>
        <v>95.082079763296548</v>
      </c>
      <c r="D9">
        <f>D8/D5</f>
        <v>100.55809823370971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Asus</cp:lastModifiedBy>
  <dcterms:created xsi:type="dcterms:W3CDTF">2026-10-29T16:56:16Z</dcterms:created>
  <dcterms:modified xsi:type="dcterms:W3CDTF">2026-10-29T16:56:23Z</dcterms:modified>
</cp:coreProperties>
</file>