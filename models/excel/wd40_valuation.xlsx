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Projects\sunesis-ai\models\out\valuation_book\"/>
    </mc:Choice>
  </mc:AlternateContent>
  <xr:revisionPtr revIDLastSave="0" documentId="8_{17683274-2CB9-4194-AE29-355B63B843F8}" xr6:coauthVersionLast="47" xr6:coauthVersionMax="47" xr10:uidLastSave="{00000000-0000-0000-0000-000000000000}"/>
  <bookViews>
    <workbookView xWindow="4310" yWindow="4570" windowWidth="7500" windowHeight="6000" xr2:uid="{00000000-000D-0000-FFFF-FFFF00000000}"/>
  </bookViews>
  <sheets>
    <sheet name="Summary" sheetId="1" r:id="rId1"/>
    <sheet name="Sources" sheetId="2" r:id="rId2"/>
    <sheet name="Scenario inputs" sheetId="3" r:id="rId3"/>
    <sheet name="DCF Original" sheetId="4" r:id="rId4"/>
    <sheet name="DCF Bear" sheetId="5" r:id="rId5"/>
    <sheet name="DCF Base" sheetId="6" r:id="rId6"/>
    <sheet name="DCF Bull" sheetId="7" r:id="rId7"/>
    <sheet name="EVA Original" sheetId="8" r:id="rId8"/>
    <sheet name="EVA Bear" sheetId="9" r:id="rId9"/>
    <sheet name="EVA Base" sheetId="10" r:id="rId10"/>
    <sheet name="EVA Bull" sheetId="11" r:id="rId11"/>
    <sheet name="DDM Bear" sheetId="12" r:id="rId12"/>
    <sheet name="DDM Base" sheetId="13" r:id="rId13"/>
    <sheet name="DDM Bull" sheetId="14" r:id="rId14"/>
    <sheet name="LBO Bear" sheetId="15" r:id="rId15"/>
    <sheet name="LBO Base" sheetId="16" r:id="rId16"/>
    <sheet name="LBO Bull" sheetId="17" r:id="rId17"/>
    <sheet name="Synergies Bear" sheetId="18" r:id="rId18"/>
    <sheet name="Synergies Base" sheetId="19" r:id="rId19"/>
    <sheet name="Synergies Bull" sheetId="20" r:id="rId20"/>
    <sheet name="Comps peers" sheetId="21" r:id="rId21"/>
    <sheet name="Comps valuation" sheetId="22" r:id="rId22"/>
    <sheet name="Precedent deals" sheetId="23" r:id="rId23"/>
    <sheet name="Precedent valuation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4" l="1"/>
  <c r="D8" i="24" s="1"/>
  <c r="D9" i="24" s="1"/>
  <c r="D7" i="1" s="1"/>
  <c r="C7" i="24"/>
  <c r="C8" i="24" s="1"/>
  <c r="C9" i="24" s="1"/>
  <c r="B7" i="24"/>
  <c r="B8" i="24" s="1"/>
  <c r="B9" i="24" s="1"/>
  <c r="B7" i="1" s="1"/>
  <c r="E8" i="23"/>
  <c r="E7" i="23"/>
  <c r="H6" i="23"/>
  <c r="E6" i="23"/>
  <c r="E5" i="23"/>
  <c r="H4" i="23"/>
  <c r="E4" i="23"/>
  <c r="H3" i="23"/>
  <c r="E3" i="23"/>
  <c r="H2" i="23"/>
  <c r="E2" i="23"/>
  <c r="D4" i="22"/>
  <c r="D9" i="22" s="1"/>
  <c r="D10" i="22" s="1"/>
  <c r="D11" i="22" s="1"/>
  <c r="D6" i="1" s="1"/>
  <c r="C4" i="22"/>
  <c r="C9" i="22" s="1"/>
  <c r="C10" i="22" s="1"/>
  <c r="C11" i="22" s="1"/>
  <c r="B4" i="22"/>
  <c r="B9" i="22" s="1"/>
  <c r="B10" i="22" s="1"/>
  <c r="B11" i="22" s="1"/>
  <c r="B6" i="1" s="1"/>
  <c r="M6" i="21"/>
  <c r="L6" i="21" s="1"/>
  <c r="D6" i="21"/>
  <c r="G6" i="21" s="1"/>
  <c r="M5" i="21"/>
  <c r="L5" i="21"/>
  <c r="D5" i="21"/>
  <c r="G5" i="21" s="1"/>
  <c r="M4" i="21"/>
  <c r="L4" i="21" s="1"/>
  <c r="D4" i="21"/>
  <c r="G4" i="21" s="1"/>
  <c r="M3" i="21"/>
  <c r="L3" i="21" s="1"/>
  <c r="D3" i="21"/>
  <c r="G3" i="21" s="1"/>
  <c r="M2" i="21"/>
  <c r="L2" i="21"/>
  <c r="D2" i="21"/>
  <c r="G2" i="21" s="1"/>
  <c r="B40" i="17"/>
  <c r="B23" i="17"/>
  <c r="B15" i="17"/>
  <c r="B12" i="17"/>
  <c r="C35" i="17" s="1"/>
  <c r="B4" i="17"/>
  <c r="B40" i="16"/>
  <c r="B39" i="16"/>
  <c r="C35" i="16"/>
  <c r="B23" i="16"/>
  <c r="B15" i="16"/>
  <c r="B12" i="16"/>
  <c r="B21" i="16" s="1"/>
  <c r="B4" i="16"/>
  <c r="B40" i="15"/>
  <c r="B23" i="15"/>
  <c r="B15" i="15"/>
  <c r="B12" i="15"/>
  <c r="B4" i="15"/>
  <c r="B12" i="14"/>
  <c r="L6" i="14"/>
  <c r="K6" i="14"/>
  <c r="J6" i="14"/>
  <c r="I6" i="14"/>
  <c r="H6" i="14"/>
  <c r="G6" i="14"/>
  <c r="F6" i="14"/>
  <c r="E6" i="14"/>
  <c r="D6" i="14"/>
  <c r="C6" i="14"/>
  <c r="B4" i="14"/>
  <c r="C4" i="14" s="1"/>
  <c r="C3" i="14"/>
  <c r="D3" i="14" s="1"/>
  <c r="B12" i="13"/>
  <c r="L6" i="13"/>
  <c r="K6" i="13"/>
  <c r="J6" i="13"/>
  <c r="I6" i="13"/>
  <c r="H6" i="13"/>
  <c r="G6" i="13"/>
  <c r="F6" i="13"/>
  <c r="E6" i="13"/>
  <c r="D6" i="13"/>
  <c r="C6" i="13"/>
  <c r="B4" i="13"/>
  <c r="C4" i="13" s="1"/>
  <c r="C3" i="13"/>
  <c r="D3" i="13" s="1"/>
  <c r="E3" i="13" s="1"/>
  <c r="F3" i="13" s="1"/>
  <c r="B12" i="12"/>
  <c r="L6" i="12"/>
  <c r="K6" i="12"/>
  <c r="J6" i="12"/>
  <c r="I6" i="12"/>
  <c r="H6" i="12"/>
  <c r="G6" i="12"/>
  <c r="F6" i="12"/>
  <c r="E6" i="12"/>
  <c r="D6" i="12"/>
  <c r="C6" i="12"/>
  <c r="B4" i="12"/>
  <c r="C4" i="12" s="1"/>
  <c r="C3" i="12"/>
  <c r="D3" i="12" s="1"/>
  <c r="G4" i="9"/>
  <c r="F4" i="9"/>
  <c r="B29" i="7"/>
  <c r="B27" i="7"/>
  <c r="B25" i="7"/>
  <c r="B24" i="7"/>
  <c r="B23" i="7"/>
  <c r="B22" i="7"/>
  <c r="B17" i="7"/>
  <c r="B14" i="11" s="1"/>
  <c r="B15" i="7"/>
  <c r="M12" i="7"/>
  <c r="B12" i="11" s="1"/>
  <c r="G12" i="7"/>
  <c r="F12" i="7"/>
  <c r="F4" i="11" s="1"/>
  <c r="E12" i="7"/>
  <c r="E4" i="11" s="1"/>
  <c r="D12" i="7"/>
  <c r="D4" i="11" s="1"/>
  <c r="C12" i="7"/>
  <c r="C13" i="7" s="1"/>
  <c r="D13" i="7" s="1"/>
  <c r="L9" i="7"/>
  <c r="K9" i="7"/>
  <c r="J9" i="7"/>
  <c r="I9" i="7"/>
  <c r="H9" i="7"/>
  <c r="G9" i="7"/>
  <c r="F9" i="7"/>
  <c r="E9" i="7"/>
  <c r="D9" i="7"/>
  <c r="C9" i="7"/>
  <c r="M7" i="7"/>
  <c r="B7" i="7"/>
  <c r="C7" i="7" s="1"/>
  <c r="D7" i="7" s="1"/>
  <c r="E7" i="7" s="1"/>
  <c r="F7" i="7" s="1"/>
  <c r="G7" i="7" s="1"/>
  <c r="H7" i="7" s="1"/>
  <c r="I7" i="7" s="1"/>
  <c r="J7" i="7" s="1"/>
  <c r="K7" i="7" s="1"/>
  <c r="L7" i="7" s="1"/>
  <c r="B6" i="7"/>
  <c r="B8" i="7" s="1"/>
  <c r="L5" i="7"/>
  <c r="M5" i="7" s="1"/>
  <c r="K5" i="7"/>
  <c r="J5" i="7"/>
  <c r="I5" i="7"/>
  <c r="H5" i="7"/>
  <c r="C5" i="7"/>
  <c r="G5" i="7" s="1"/>
  <c r="B4" i="7"/>
  <c r="M3" i="7"/>
  <c r="B13" i="11" s="1"/>
  <c r="G3" i="7"/>
  <c r="H3" i="7" s="1"/>
  <c r="F3" i="7"/>
  <c r="E3" i="7"/>
  <c r="D3" i="7"/>
  <c r="C3" i="7"/>
  <c r="B29" i="6"/>
  <c r="B27" i="6"/>
  <c r="B25" i="6"/>
  <c r="B24" i="6"/>
  <c r="B23" i="6"/>
  <c r="B22" i="6"/>
  <c r="B17" i="6"/>
  <c r="B14" i="10" s="1"/>
  <c r="B15" i="6"/>
  <c r="C3" i="10" s="1"/>
  <c r="M12" i="6"/>
  <c r="G12" i="6"/>
  <c r="H12" i="6" s="1"/>
  <c r="F12" i="6"/>
  <c r="F4" i="10" s="1"/>
  <c r="E12" i="6"/>
  <c r="E4" i="10" s="1"/>
  <c r="D12" i="6"/>
  <c r="D4" i="10" s="1"/>
  <c r="C12" i="6"/>
  <c r="C13" i="6" s="1"/>
  <c r="L9" i="6"/>
  <c r="K9" i="6"/>
  <c r="J9" i="6"/>
  <c r="I9" i="6"/>
  <c r="H9" i="6"/>
  <c r="G9" i="6"/>
  <c r="F9" i="6"/>
  <c r="E9" i="6"/>
  <c r="D9" i="6"/>
  <c r="C9" i="6"/>
  <c r="M7" i="6"/>
  <c r="B7" i="6"/>
  <c r="C7" i="6" s="1"/>
  <c r="D7" i="6" s="1"/>
  <c r="D31" i="15" s="1"/>
  <c r="B6" i="6"/>
  <c r="B8" i="6" s="1"/>
  <c r="B16" i="6" s="1"/>
  <c r="L5" i="6"/>
  <c r="K5" i="6"/>
  <c r="J5" i="6"/>
  <c r="I5" i="6"/>
  <c r="H5" i="6"/>
  <c r="C5" i="6"/>
  <c r="G5" i="6" s="1"/>
  <c r="B4" i="6"/>
  <c r="M3" i="6"/>
  <c r="G3" i="6"/>
  <c r="L3" i="6" s="1"/>
  <c r="F3" i="6"/>
  <c r="E3" i="6"/>
  <c r="D3" i="6"/>
  <c r="C3" i="6"/>
  <c r="B29" i="5"/>
  <c r="B27" i="5"/>
  <c r="B25" i="5"/>
  <c r="B24" i="5"/>
  <c r="B23" i="5"/>
  <c r="B22" i="5"/>
  <c r="B15" i="5"/>
  <c r="B9" i="9" s="1"/>
  <c r="M12" i="5"/>
  <c r="B12" i="9" s="1"/>
  <c r="G12" i="5"/>
  <c r="F12" i="5"/>
  <c r="E12" i="5"/>
  <c r="E4" i="9" s="1"/>
  <c r="D12" i="5"/>
  <c r="D4" i="9" s="1"/>
  <c r="C12" i="5"/>
  <c r="C4" i="9" s="1"/>
  <c r="L9" i="5"/>
  <c r="K9" i="5"/>
  <c r="J9" i="5"/>
  <c r="I9" i="5"/>
  <c r="H9" i="5"/>
  <c r="G9" i="5"/>
  <c r="F9" i="5"/>
  <c r="E9" i="5"/>
  <c r="D9" i="5"/>
  <c r="C9" i="5"/>
  <c r="M7" i="5"/>
  <c r="B7" i="5"/>
  <c r="C7" i="5" s="1"/>
  <c r="D7" i="5" s="1"/>
  <c r="E7" i="5" s="1"/>
  <c r="F7" i="5" s="1"/>
  <c r="G7" i="5" s="1"/>
  <c r="H7" i="5" s="1"/>
  <c r="I7" i="5" s="1"/>
  <c r="J7" i="5" s="1"/>
  <c r="K7" i="5" s="1"/>
  <c r="L7" i="5" s="1"/>
  <c r="B6" i="5"/>
  <c r="B5" i="5" s="1"/>
  <c r="L5" i="5"/>
  <c r="M5" i="5" s="1"/>
  <c r="K5" i="5"/>
  <c r="J5" i="5"/>
  <c r="I5" i="5"/>
  <c r="H5" i="5"/>
  <c r="C5" i="5"/>
  <c r="F5" i="5" s="1"/>
  <c r="B4" i="5"/>
  <c r="M3" i="5"/>
  <c r="B13" i="9" s="1"/>
  <c r="G3" i="5"/>
  <c r="K3" i="5" s="1"/>
  <c r="F3" i="5"/>
  <c r="E3" i="5"/>
  <c r="D3" i="5"/>
  <c r="C3" i="5"/>
  <c r="C4" i="5" s="1"/>
  <c r="D4" i="5" s="1"/>
  <c r="B29" i="4"/>
  <c r="B27" i="4"/>
  <c r="B25" i="4"/>
  <c r="B24" i="4"/>
  <c r="B23" i="4"/>
  <c r="B22" i="4"/>
  <c r="B15" i="4"/>
  <c r="M12" i="4"/>
  <c r="B12" i="8" s="1"/>
  <c r="G12" i="4"/>
  <c r="G4" i="8" s="1"/>
  <c r="F12" i="4"/>
  <c r="F4" i="8" s="1"/>
  <c r="E12" i="4"/>
  <c r="E4" i="8" s="1"/>
  <c r="D12" i="4"/>
  <c r="D4" i="8" s="1"/>
  <c r="C12" i="4"/>
  <c r="C4" i="8" s="1"/>
  <c r="L9" i="4"/>
  <c r="K9" i="4"/>
  <c r="J9" i="4"/>
  <c r="I9" i="4"/>
  <c r="H9" i="4"/>
  <c r="G9" i="4"/>
  <c r="F9" i="4"/>
  <c r="E9" i="4"/>
  <c r="D9" i="4"/>
  <c r="C9" i="4"/>
  <c r="M7" i="4"/>
  <c r="B7" i="4"/>
  <c r="C7" i="4" s="1"/>
  <c r="D7" i="4" s="1"/>
  <c r="E7" i="4" s="1"/>
  <c r="F7" i="4" s="1"/>
  <c r="G7" i="4" s="1"/>
  <c r="H7" i="4" s="1"/>
  <c r="I7" i="4" s="1"/>
  <c r="J7" i="4" s="1"/>
  <c r="K7" i="4" s="1"/>
  <c r="L7" i="4" s="1"/>
  <c r="B6" i="4"/>
  <c r="B8" i="4" s="1"/>
  <c r="L5" i="4"/>
  <c r="K5" i="4"/>
  <c r="J5" i="4"/>
  <c r="I5" i="4"/>
  <c r="H5" i="4"/>
  <c r="C5" i="4"/>
  <c r="G5" i="4" s="1"/>
  <c r="B4" i="4"/>
  <c r="C4" i="4" s="1"/>
  <c r="M3" i="4"/>
  <c r="B13" i="8" s="1"/>
  <c r="G3" i="4"/>
  <c r="L3" i="4" s="1"/>
  <c r="F3" i="4"/>
  <c r="E3" i="4"/>
  <c r="D3" i="4"/>
  <c r="C3" i="4"/>
  <c r="D8" i="1"/>
  <c r="C8" i="1"/>
  <c r="B8" i="1"/>
  <c r="C7" i="1"/>
  <c r="C6" i="1"/>
  <c r="O2" i="21" l="1"/>
  <c r="N2" i="21"/>
  <c r="C5" i="12"/>
  <c r="C7" i="12" s="1"/>
  <c r="D4" i="12"/>
  <c r="E4" i="12" s="1"/>
  <c r="F4" i="12" s="1"/>
  <c r="G4" i="12" s="1"/>
  <c r="H4" i="12" s="1"/>
  <c r="I4" i="12" s="1"/>
  <c r="J4" i="12" s="1"/>
  <c r="K4" i="12" s="1"/>
  <c r="L4" i="12" s="1"/>
  <c r="C4" i="10"/>
  <c r="C5" i="10" s="1"/>
  <c r="J3" i="7"/>
  <c r="B9" i="10"/>
  <c r="K3" i="7"/>
  <c r="L3" i="7"/>
  <c r="D5" i="4"/>
  <c r="I3" i="6"/>
  <c r="C5" i="14"/>
  <c r="C7" i="14" s="1"/>
  <c r="C31" i="15"/>
  <c r="I3" i="7"/>
  <c r="B5" i="7"/>
  <c r="C5" i="13"/>
  <c r="C7" i="13" s="1"/>
  <c r="B16" i="4"/>
  <c r="D5" i="7"/>
  <c r="C6" i="5"/>
  <c r="C8" i="5" s="1"/>
  <c r="B8" i="5"/>
  <c r="B16" i="5" s="1"/>
  <c r="F5" i="7"/>
  <c r="C13" i="5"/>
  <c r="C7" i="9" s="1"/>
  <c r="O3" i="21"/>
  <c r="F5" i="4"/>
  <c r="B5" i="6"/>
  <c r="C13" i="4"/>
  <c r="C7" i="8" s="1"/>
  <c r="D4" i="4"/>
  <c r="C6" i="4"/>
  <c r="C8" i="4" s="1"/>
  <c r="I12" i="6"/>
  <c r="H4" i="10"/>
  <c r="C2" i="9"/>
  <c r="C16" i="5"/>
  <c r="E4" i="5"/>
  <c r="C10" i="5"/>
  <c r="C15" i="5" s="1"/>
  <c r="D4" i="13"/>
  <c r="E4" i="13" s="1"/>
  <c r="G4" i="10"/>
  <c r="D6" i="7"/>
  <c r="D8" i="7" s="1"/>
  <c r="M5" i="4"/>
  <c r="D13" i="5"/>
  <c r="B16" i="7"/>
  <c r="C7" i="11"/>
  <c r="N6" i="21"/>
  <c r="I3" i="5"/>
  <c r="B13" i="20"/>
  <c r="B13" i="19"/>
  <c r="B12" i="10"/>
  <c r="C3" i="11"/>
  <c r="B9" i="11"/>
  <c r="H3" i="5"/>
  <c r="C4" i="6"/>
  <c r="O6" i="21"/>
  <c r="L3" i="5"/>
  <c r="I3" i="4"/>
  <c r="C3" i="8"/>
  <c r="C5" i="8" s="1"/>
  <c r="B9" i="8"/>
  <c r="G5" i="5"/>
  <c r="H3" i="4"/>
  <c r="K3" i="4"/>
  <c r="D5" i="6"/>
  <c r="D4" i="14"/>
  <c r="E4" i="14" s="1"/>
  <c r="F4" i="14" s="1"/>
  <c r="G4" i="14" s="1"/>
  <c r="H4" i="14" s="1"/>
  <c r="I4" i="14" s="1"/>
  <c r="J4" i="14" s="1"/>
  <c r="K4" i="14" s="1"/>
  <c r="L4" i="14" s="1"/>
  <c r="D13" i="4"/>
  <c r="C8" i="19"/>
  <c r="D13" i="6"/>
  <c r="C7" i="10"/>
  <c r="C8" i="18"/>
  <c r="C8" i="20"/>
  <c r="J3" i="4"/>
  <c r="E5" i="6"/>
  <c r="G4" i="11"/>
  <c r="H12" i="7"/>
  <c r="C4" i="11"/>
  <c r="C3" i="9"/>
  <c r="C5" i="9" s="1"/>
  <c r="E5" i="4"/>
  <c r="H3" i="6"/>
  <c r="F5" i="6"/>
  <c r="C6" i="19"/>
  <c r="C31" i="16"/>
  <c r="C6" i="18"/>
  <c r="C31" i="17"/>
  <c r="C6" i="20"/>
  <c r="C4" i="7"/>
  <c r="D4" i="7" s="1"/>
  <c r="N3" i="21"/>
  <c r="O5" i="21"/>
  <c r="N5" i="21"/>
  <c r="J3" i="5"/>
  <c r="D6" i="19"/>
  <c r="D31" i="16"/>
  <c r="D6" i="18"/>
  <c r="D31" i="17"/>
  <c r="D6" i="20"/>
  <c r="G3" i="13"/>
  <c r="C30" i="17"/>
  <c r="B13" i="18"/>
  <c r="B12" i="18"/>
  <c r="B12" i="20"/>
  <c r="B13" i="10"/>
  <c r="B12" i="19"/>
  <c r="M5" i="6"/>
  <c r="E5" i="5"/>
  <c r="E6" i="5" s="1"/>
  <c r="E8" i="5" s="1"/>
  <c r="B5" i="4"/>
  <c r="H12" i="4"/>
  <c r="J3" i="6"/>
  <c r="E7" i="6"/>
  <c r="B8" i="15"/>
  <c r="D5" i="5"/>
  <c r="D6" i="5" s="1"/>
  <c r="D8" i="5" s="1"/>
  <c r="E13" i="7"/>
  <c r="D7" i="11"/>
  <c r="H12" i="5"/>
  <c r="K3" i="6"/>
  <c r="D5" i="12"/>
  <c r="D7" i="12" s="1"/>
  <c r="E3" i="12"/>
  <c r="B39" i="15"/>
  <c r="B21" i="15"/>
  <c r="C35" i="15"/>
  <c r="O4" i="21"/>
  <c r="N4" i="21"/>
  <c r="E5" i="7"/>
  <c r="C30" i="16"/>
  <c r="B8" i="17"/>
  <c r="E3" i="14"/>
  <c r="C30" i="15"/>
  <c r="B8" i="16"/>
  <c r="B21" i="17"/>
  <c r="B39" i="17"/>
  <c r="C32" i="17" l="1"/>
  <c r="C32" i="16"/>
  <c r="C6" i="7"/>
  <c r="C8" i="7" s="1"/>
  <c r="C32" i="15"/>
  <c r="D3" i="9"/>
  <c r="D5" i="9" s="1"/>
  <c r="F4" i="5"/>
  <c r="D10" i="5"/>
  <c r="D15" i="5" s="1"/>
  <c r="D16" i="5"/>
  <c r="D2" i="9"/>
  <c r="D6" i="9" s="1"/>
  <c r="D11" i="5"/>
  <c r="D14" i="5" s="1"/>
  <c r="C11" i="5"/>
  <c r="C14" i="5" s="1"/>
  <c r="D8" i="18"/>
  <c r="E13" i="6"/>
  <c r="D8" i="20"/>
  <c r="D8" i="19"/>
  <c r="D7" i="10"/>
  <c r="I12" i="7"/>
  <c r="H4" i="11"/>
  <c r="D7" i="8"/>
  <c r="E13" i="4"/>
  <c r="F13" i="7"/>
  <c r="E7" i="11"/>
  <c r="C5" i="11"/>
  <c r="C6" i="9"/>
  <c r="C8" i="9" s="1"/>
  <c r="D7" i="9"/>
  <c r="E13" i="5"/>
  <c r="D2" i="11"/>
  <c r="C10" i="7"/>
  <c r="C15" i="7" s="1"/>
  <c r="D16" i="7" s="1"/>
  <c r="E4" i="7"/>
  <c r="E6" i="7" s="1"/>
  <c r="E8" i="7" s="1"/>
  <c r="J12" i="6"/>
  <c r="I4" i="10"/>
  <c r="E2" i="9"/>
  <c r="H4" i="9"/>
  <c r="I12" i="5"/>
  <c r="D5" i="13"/>
  <c r="D7" i="13" s="1"/>
  <c r="E31" i="15"/>
  <c r="F7" i="6"/>
  <c r="E31" i="16"/>
  <c r="E6" i="18"/>
  <c r="E31" i="17"/>
  <c r="E6" i="20"/>
  <c r="E6" i="19"/>
  <c r="H3" i="13"/>
  <c r="B20" i="17"/>
  <c r="B22" i="17" s="1"/>
  <c r="B24" i="17" s="1"/>
  <c r="B25" i="17" s="1"/>
  <c r="B26" i="17" s="1"/>
  <c r="B10" i="17"/>
  <c r="E5" i="12"/>
  <c r="E7" i="12" s="1"/>
  <c r="F3" i="12"/>
  <c r="F4" i="13"/>
  <c r="E5" i="13"/>
  <c r="E7" i="13" s="1"/>
  <c r="D5" i="14"/>
  <c r="D7" i="14" s="1"/>
  <c r="C16" i="4"/>
  <c r="C2" i="8"/>
  <c r="C6" i="8" s="1"/>
  <c r="C8" i="8" s="1"/>
  <c r="C16" i="7"/>
  <c r="C2" i="11"/>
  <c r="C27" i="17"/>
  <c r="C2" i="20"/>
  <c r="C4" i="20" s="1"/>
  <c r="C27" i="15"/>
  <c r="D4" i="6"/>
  <c r="D6" i="6" s="1"/>
  <c r="C2" i="19"/>
  <c r="C4" i="19" s="1"/>
  <c r="C27" i="16"/>
  <c r="C2" i="18"/>
  <c r="C4" i="18" s="1"/>
  <c r="C6" i="6"/>
  <c r="B10" i="16"/>
  <c r="B20" i="16"/>
  <c r="B22" i="16" s="1"/>
  <c r="B24" i="16" s="1"/>
  <c r="B25" i="16" s="1"/>
  <c r="B26" i="16" s="1"/>
  <c r="B10" i="15"/>
  <c r="B20" i="15"/>
  <c r="B22" i="15" s="1"/>
  <c r="B24" i="15" s="1"/>
  <c r="B25" i="15" s="1"/>
  <c r="B26" i="15" s="1"/>
  <c r="E5" i="14"/>
  <c r="E7" i="14" s="1"/>
  <c r="F3" i="14"/>
  <c r="H4" i="8"/>
  <c r="I12" i="4"/>
  <c r="C10" i="4"/>
  <c r="C15" i="4" s="1"/>
  <c r="D6" i="4"/>
  <c r="D8" i="4" s="1"/>
  <c r="E4" i="4"/>
  <c r="E6" i="4" s="1"/>
  <c r="E8" i="4" s="1"/>
  <c r="C11" i="4" l="1"/>
  <c r="C14" i="4" s="1"/>
  <c r="E3" i="9"/>
  <c r="E5" i="9" s="1"/>
  <c r="E16" i="5"/>
  <c r="E8" i="18"/>
  <c r="E8" i="20"/>
  <c r="E8" i="19"/>
  <c r="F13" i="6"/>
  <c r="E7" i="10"/>
  <c r="D2" i="18"/>
  <c r="D27" i="15"/>
  <c r="D28" i="15" s="1"/>
  <c r="E4" i="6"/>
  <c r="D2" i="19"/>
  <c r="D27" i="16"/>
  <c r="D28" i="16" s="1"/>
  <c r="D27" i="17"/>
  <c r="D28" i="17" s="1"/>
  <c r="D2" i="20"/>
  <c r="C10" i="6"/>
  <c r="C15" i="6" s="1"/>
  <c r="I4" i="11"/>
  <c r="J12" i="7"/>
  <c r="E2" i="8"/>
  <c r="D15" i="4"/>
  <c r="D3" i="8"/>
  <c r="D5" i="8" s="1"/>
  <c r="G4" i="13"/>
  <c r="F5" i="13"/>
  <c r="F7" i="13" s="1"/>
  <c r="J12" i="5"/>
  <c r="I4" i="9"/>
  <c r="E2" i="11"/>
  <c r="F5" i="12"/>
  <c r="F7" i="12" s="1"/>
  <c r="G3" i="12"/>
  <c r="G4" i="5"/>
  <c r="E10" i="5"/>
  <c r="E11" i="5" s="1"/>
  <c r="E14" i="5" s="1"/>
  <c r="F6" i="5"/>
  <c r="F8" i="5" s="1"/>
  <c r="D2" i="8"/>
  <c r="D6" i="8" s="1"/>
  <c r="D8" i="8" s="1"/>
  <c r="D16" i="4"/>
  <c r="C6" i="11"/>
  <c r="C8" i="11" s="1"/>
  <c r="F7" i="11"/>
  <c r="G13" i="7"/>
  <c r="C28" i="16"/>
  <c r="C28" i="17"/>
  <c r="C8" i="6"/>
  <c r="C28" i="15"/>
  <c r="F31" i="16"/>
  <c r="F31" i="17"/>
  <c r="F6" i="20"/>
  <c r="G7" i="6"/>
  <c r="F31" i="15"/>
  <c r="F6" i="19"/>
  <c r="F6" i="18"/>
  <c r="I4" i="8"/>
  <c r="J12" i="4"/>
  <c r="E6" i="9"/>
  <c r="I3" i="13"/>
  <c r="E7" i="8"/>
  <c r="F13" i="4"/>
  <c r="D8" i="6"/>
  <c r="E7" i="9"/>
  <c r="F13" i="5"/>
  <c r="D8" i="9"/>
  <c r="F5" i="14"/>
  <c r="F7" i="14" s="1"/>
  <c r="G3" i="14"/>
  <c r="C11" i="7"/>
  <c r="C14" i="7" s="1"/>
  <c r="K12" i="6"/>
  <c r="J4" i="10"/>
  <c r="D3" i="11"/>
  <c r="D5" i="11" s="1"/>
  <c r="D6" i="11" s="1"/>
  <c r="D8" i="11" s="1"/>
  <c r="F4" i="4"/>
  <c r="D10" i="4"/>
  <c r="D11" i="4" s="1"/>
  <c r="D14" i="4" s="1"/>
  <c r="D10" i="7"/>
  <c r="D11" i="7" s="1"/>
  <c r="D14" i="7" s="1"/>
  <c r="F4" i="7"/>
  <c r="E8" i="9" l="1"/>
  <c r="D5" i="19"/>
  <c r="C5" i="19"/>
  <c r="C7" i="19" s="1"/>
  <c r="C9" i="19" s="1"/>
  <c r="D4" i="19"/>
  <c r="D7" i="19" s="1"/>
  <c r="D9" i="19" s="1"/>
  <c r="D4" i="18"/>
  <c r="D5" i="18"/>
  <c r="C5" i="18"/>
  <c r="C7" i="18" s="1"/>
  <c r="C9" i="18" s="1"/>
  <c r="D5" i="20"/>
  <c r="C5" i="20"/>
  <c r="C7" i="20" s="1"/>
  <c r="C9" i="20" s="1"/>
  <c r="D4" i="20"/>
  <c r="D7" i="20" s="1"/>
  <c r="D9" i="20" s="1"/>
  <c r="J4" i="8"/>
  <c r="K12" i="4"/>
  <c r="H4" i="13"/>
  <c r="G5" i="13"/>
  <c r="G7" i="13" s="1"/>
  <c r="F2" i="9"/>
  <c r="F7" i="10"/>
  <c r="F8" i="18"/>
  <c r="F8" i="20"/>
  <c r="F8" i="19"/>
  <c r="G13" i="6"/>
  <c r="H3" i="14"/>
  <c r="G5" i="14"/>
  <c r="G7" i="14" s="1"/>
  <c r="G6" i="19"/>
  <c r="G31" i="16"/>
  <c r="G6" i="18"/>
  <c r="G6" i="20"/>
  <c r="G31" i="15"/>
  <c r="H7" i="6"/>
  <c r="G31" i="17"/>
  <c r="E27" i="15"/>
  <c r="F4" i="6"/>
  <c r="E27" i="16"/>
  <c r="E27" i="17"/>
  <c r="E2" i="18"/>
  <c r="E4" i="18" s="1"/>
  <c r="E7" i="18" s="1"/>
  <c r="E9" i="18" s="1"/>
  <c r="E2" i="19"/>
  <c r="E4" i="19" s="1"/>
  <c r="E7" i="19" s="1"/>
  <c r="E9" i="19" s="1"/>
  <c r="D10" i="6"/>
  <c r="D15" i="6" s="1"/>
  <c r="E2" i="20"/>
  <c r="E4" i="20" s="1"/>
  <c r="E7" i="20" s="1"/>
  <c r="E9" i="20" s="1"/>
  <c r="E6" i="6"/>
  <c r="E10" i="7"/>
  <c r="E11" i="7" s="1"/>
  <c r="E14" i="7" s="1"/>
  <c r="G4" i="7"/>
  <c r="F6" i="7"/>
  <c r="F8" i="7" s="1"/>
  <c r="D16" i="6"/>
  <c r="D2" i="10"/>
  <c r="H4" i="5"/>
  <c r="F10" i="5"/>
  <c r="F11" i="5" s="1"/>
  <c r="F14" i="5" s="1"/>
  <c r="G6" i="5"/>
  <c r="G8" i="5" s="1"/>
  <c r="F6" i="4"/>
  <c r="F8" i="4" s="1"/>
  <c r="G4" i="4"/>
  <c r="E10" i="4"/>
  <c r="E11" i="4" s="1"/>
  <c r="E14" i="4" s="1"/>
  <c r="G5" i="12"/>
  <c r="G7" i="12" s="1"/>
  <c r="H3" i="12"/>
  <c r="G13" i="4"/>
  <c r="F7" i="8"/>
  <c r="D15" i="7"/>
  <c r="J4" i="11"/>
  <c r="K12" i="7"/>
  <c r="J4" i="9"/>
  <c r="K12" i="5"/>
  <c r="C2" i="10"/>
  <c r="C6" i="10" s="1"/>
  <c r="C8" i="10" s="1"/>
  <c r="C11" i="6"/>
  <c r="C16" i="6"/>
  <c r="F7" i="9"/>
  <c r="G13" i="5"/>
  <c r="E15" i="4"/>
  <c r="E3" i="8"/>
  <c r="E5" i="8" s="1"/>
  <c r="E6" i="8" s="1"/>
  <c r="E8" i="8" s="1"/>
  <c r="E16" i="4"/>
  <c r="L12" i="6"/>
  <c r="L4" i="10" s="1"/>
  <c r="K4" i="10"/>
  <c r="J3" i="13"/>
  <c r="G7" i="11"/>
  <c r="H13" i="7"/>
  <c r="D3" i="10"/>
  <c r="D5" i="10" s="1"/>
  <c r="E15" i="5"/>
  <c r="F16" i="5" s="1"/>
  <c r="E3" i="10" l="1"/>
  <c r="E5" i="10" s="1"/>
  <c r="E28" i="16"/>
  <c r="E8" i="6"/>
  <c r="E28" i="17"/>
  <c r="E28" i="15"/>
  <c r="H5" i="12"/>
  <c r="H7" i="12" s="1"/>
  <c r="I3" i="12"/>
  <c r="H6" i="18"/>
  <c r="I7" i="6"/>
  <c r="H6" i="20"/>
  <c r="H6" i="19"/>
  <c r="I3" i="14"/>
  <c r="H5" i="14"/>
  <c r="H7" i="14" s="1"/>
  <c r="F10" i="4"/>
  <c r="F11" i="4" s="1"/>
  <c r="F14" i="4" s="1"/>
  <c r="H4" i="4"/>
  <c r="G6" i="4"/>
  <c r="G8" i="4" s="1"/>
  <c r="C29" i="17"/>
  <c r="C33" i="17" s="1"/>
  <c r="C29" i="15"/>
  <c r="C33" i="15" s="1"/>
  <c r="C14" i="6"/>
  <c r="C29" i="16"/>
  <c r="C33" i="16" s="1"/>
  <c r="I4" i="5"/>
  <c r="G10" i="5"/>
  <c r="G11" i="5" s="1"/>
  <c r="G14" i="5" s="1"/>
  <c r="H6" i="5"/>
  <c r="H8" i="5" s="1"/>
  <c r="L12" i="5"/>
  <c r="K4" i="9"/>
  <c r="G7" i="9"/>
  <c r="H13" i="5"/>
  <c r="G8" i="18"/>
  <c r="G8" i="20"/>
  <c r="G8" i="19"/>
  <c r="G7" i="10"/>
  <c r="H13" i="6"/>
  <c r="D7" i="18"/>
  <c r="D9" i="18" s="1"/>
  <c r="F2" i="20"/>
  <c r="F4" i="20" s="1"/>
  <c r="F7" i="20" s="1"/>
  <c r="F9" i="20" s="1"/>
  <c r="E10" i="6"/>
  <c r="E15" i="6" s="1"/>
  <c r="F27" i="15"/>
  <c r="G4" i="6"/>
  <c r="F2" i="19"/>
  <c r="F4" i="19" s="1"/>
  <c r="F7" i="19" s="1"/>
  <c r="F9" i="19" s="1"/>
  <c r="F27" i="17"/>
  <c r="F2" i="18"/>
  <c r="F4" i="18" s="1"/>
  <c r="F7" i="18" s="1"/>
  <c r="F9" i="18" s="1"/>
  <c r="F27" i="16"/>
  <c r="F6" i="6"/>
  <c r="E3" i="11"/>
  <c r="E5" i="11" s="1"/>
  <c r="E6" i="11" s="1"/>
  <c r="E8" i="11" s="1"/>
  <c r="E15" i="7"/>
  <c r="F16" i="7" s="1"/>
  <c r="E16" i="7"/>
  <c r="F3" i="8"/>
  <c r="F5" i="8" s="1"/>
  <c r="F15" i="4"/>
  <c r="K3" i="13"/>
  <c r="D11" i="6"/>
  <c r="K4" i="11"/>
  <c r="L12" i="7"/>
  <c r="L4" i="11" s="1"/>
  <c r="K4" i="8"/>
  <c r="L12" i="4"/>
  <c r="G7" i="8"/>
  <c r="H13" i="4"/>
  <c r="F15" i="5"/>
  <c r="F3" i="9"/>
  <c r="F5" i="9" s="1"/>
  <c r="F6" i="9" s="1"/>
  <c r="F8" i="9" s="1"/>
  <c r="F2" i="8"/>
  <c r="F16" i="4"/>
  <c r="G2" i="9"/>
  <c r="G16" i="5"/>
  <c r="I13" i="7"/>
  <c r="H7" i="11"/>
  <c r="D6" i="10"/>
  <c r="D8" i="10" s="1"/>
  <c r="I4" i="13"/>
  <c r="H5" i="13"/>
  <c r="H7" i="13" s="1"/>
  <c r="F2" i="11"/>
  <c r="F10" i="7"/>
  <c r="F11" i="7" s="1"/>
  <c r="F14" i="7" s="1"/>
  <c r="H4" i="7"/>
  <c r="G6" i="7"/>
  <c r="G8" i="7" s="1"/>
  <c r="F3" i="10" l="1"/>
  <c r="F5" i="10" s="1"/>
  <c r="H2" i="9"/>
  <c r="H16" i="5"/>
  <c r="H11" i="5"/>
  <c r="H14" i="5" s="1"/>
  <c r="L4" i="9"/>
  <c r="B17" i="5"/>
  <c r="D29" i="16"/>
  <c r="D29" i="17"/>
  <c r="D14" i="6"/>
  <c r="D29" i="15"/>
  <c r="I7" i="11"/>
  <c r="J13" i="7"/>
  <c r="E2" i="10"/>
  <c r="E6" i="10" s="1"/>
  <c r="E8" i="10" s="1"/>
  <c r="E11" i="6"/>
  <c r="E16" i="6"/>
  <c r="J4" i="5"/>
  <c r="H10" i="5"/>
  <c r="I6" i="5"/>
  <c r="I8" i="5" s="1"/>
  <c r="J4" i="13"/>
  <c r="I5" i="13"/>
  <c r="I7" i="13" s="1"/>
  <c r="I6" i="18"/>
  <c r="I6" i="20"/>
  <c r="I6" i="19"/>
  <c r="J7" i="6"/>
  <c r="J3" i="12"/>
  <c r="I5" i="12"/>
  <c r="I7" i="12" s="1"/>
  <c r="C34" i="16"/>
  <c r="C34" i="15"/>
  <c r="G10" i="7"/>
  <c r="G11" i="7" s="1"/>
  <c r="G14" i="7" s="1"/>
  <c r="I4" i="7"/>
  <c r="H6" i="7"/>
  <c r="H8" i="7" s="1"/>
  <c r="G2" i="8"/>
  <c r="G6" i="8" s="1"/>
  <c r="G8" i="8" s="1"/>
  <c r="G16" i="4"/>
  <c r="F3" i="11"/>
  <c r="F5" i="11" s="1"/>
  <c r="F6" i="11" s="1"/>
  <c r="F8" i="11" s="1"/>
  <c r="F15" i="7"/>
  <c r="G16" i="7" s="1"/>
  <c r="I5" i="14"/>
  <c r="I7" i="14" s="1"/>
  <c r="J3" i="14"/>
  <c r="G2" i="19"/>
  <c r="G4" i="19" s="1"/>
  <c r="G7" i="19" s="1"/>
  <c r="G9" i="19" s="1"/>
  <c r="G27" i="16"/>
  <c r="G27" i="17"/>
  <c r="G2" i="18"/>
  <c r="G4" i="18" s="1"/>
  <c r="G7" i="18" s="1"/>
  <c r="G9" i="18" s="1"/>
  <c r="F10" i="6"/>
  <c r="F15" i="6" s="1"/>
  <c r="H4" i="6"/>
  <c r="G2" i="20"/>
  <c r="G4" i="20" s="1"/>
  <c r="G7" i="20" s="1"/>
  <c r="G9" i="20" s="1"/>
  <c r="G27" i="15"/>
  <c r="G6" i="6"/>
  <c r="C34" i="17"/>
  <c r="H8" i="20"/>
  <c r="H8" i="19"/>
  <c r="I13" i="6"/>
  <c r="H7" i="10"/>
  <c r="H8" i="18"/>
  <c r="H6" i="4"/>
  <c r="H8" i="4" s="1"/>
  <c r="G10" i="4"/>
  <c r="G15" i="4" s="1"/>
  <c r="I4" i="4"/>
  <c r="L4" i="8"/>
  <c r="B17" i="4"/>
  <c r="G2" i="11"/>
  <c r="L3" i="13"/>
  <c r="G6" i="9"/>
  <c r="G8" i="9" s="1"/>
  <c r="G3" i="8"/>
  <c r="G5" i="8" s="1"/>
  <c r="F6" i="8"/>
  <c r="F8" i="8" s="1"/>
  <c r="G15" i="5"/>
  <c r="G3" i="9"/>
  <c r="G5" i="9" s="1"/>
  <c r="I13" i="5"/>
  <c r="H7" i="9"/>
  <c r="H7" i="8"/>
  <c r="I13" i="4"/>
  <c r="F28" i="16"/>
  <c r="F8" i="6"/>
  <c r="F28" i="15"/>
  <c r="F28" i="17"/>
  <c r="G11" i="4" l="1"/>
  <c r="G14" i="4" s="1"/>
  <c r="G3" i="10"/>
  <c r="G5" i="10" s="1"/>
  <c r="H3" i="8"/>
  <c r="H5" i="8" s="1"/>
  <c r="K3" i="14"/>
  <c r="J5" i="14"/>
  <c r="J7" i="14" s="1"/>
  <c r="I8" i="20"/>
  <c r="I8" i="19"/>
  <c r="J13" i="6"/>
  <c r="I7" i="10"/>
  <c r="I8" i="18"/>
  <c r="K3" i="12"/>
  <c r="J5" i="12"/>
  <c r="J7" i="12" s="1"/>
  <c r="B14" i="9"/>
  <c r="C37" i="15"/>
  <c r="C38" i="15" s="1"/>
  <c r="C36" i="15"/>
  <c r="B13" i="13"/>
  <c r="B14" i="13" s="1"/>
  <c r="B15" i="13" s="1"/>
  <c r="I2" i="9"/>
  <c r="H2" i="19"/>
  <c r="H4" i="19" s="1"/>
  <c r="H7" i="19" s="1"/>
  <c r="H9" i="19" s="1"/>
  <c r="H2" i="18"/>
  <c r="H4" i="18" s="1"/>
  <c r="H7" i="18" s="1"/>
  <c r="H9" i="18" s="1"/>
  <c r="H2" i="20"/>
  <c r="H4" i="20" s="1"/>
  <c r="H7" i="20" s="1"/>
  <c r="H9" i="20" s="1"/>
  <c r="G10" i="6"/>
  <c r="G15" i="6" s="1"/>
  <c r="H6" i="6"/>
  <c r="H8" i="6" s="1"/>
  <c r="I4" i="6"/>
  <c r="G6" i="11"/>
  <c r="G8" i="11" s="1"/>
  <c r="F11" i="6"/>
  <c r="F16" i="6"/>
  <c r="F2" i="10"/>
  <c r="F6" i="10" s="1"/>
  <c r="F8" i="10" s="1"/>
  <c r="G8" i="6"/>
  <c r="G28" i="17"/>
  <c r="B43" i="17" s="1"/>
  <c r="G28" i="15"/>
  <c r="B43" i="15" s="1"/>
  <c r="G28" i="16"/>
  <c r="B43" i="16" s="1"/>
  <c r="K4" i="13"/>
  <c r="J5" i="13"/>
  <c r="J7" i="13" s="1"/>
  <c r="I7" i="8"/>
  <c r="J13" i="4"/>
  <c r="H2" i="11"/>
  <c r="I10" i="5"/>
  <c r="I11" i="5" s="1"/>
  <c r="I14" i="5" s="1"/>
  <c r="J6" i="5"/>
  <c r="J8" i="5" s="1"/>
  <c r="K4" i="5"/>
  <c r="E29" i="17"/>
  <c r="E14" i="6"/>
  <c r="E29" i="15"/>
  <c r="E29" i="16"/>
  <c r="H3" i="9"/>
  <c r="H5" i="9" s="1"/>
  <c r="H6" i="9" s="1"/>
  <c r="H8" i="9" s="1"/>
  <c r="H15" i="5"/>
  <c r="K13" i="7"/>
  <c r="J7" i="11"/>
  <c r="J6" i="18"/>
  <c r="J6" i="20"/>
  <c r="K7" i="6"/>
  <c r="J6" i="19"/>
  <c r="G3" i="11"/>
  <c r="G5" i="11" s="1"/>
  <c r="G15" i="7"/>
  <c r="C36" i="17"/>
  <c r="C37" i="17"/>
  <c r="C38" i="17" s="1"/>
  <c r="C37" i="16"/>
  <c r="C38" i="16" s="1"/>
  <c r="C36" i="16"/>
  <c r="B14" i="8"/>
  <c r="J4" i="7"/>
  <c r="H10" i="7"/>
  <c r="H11" i="7" s="1"/>
  <c r="H14" i="7" s="1"/>
  <c r="I6" i="7"/>
  <c r="I8" i="7" s="1"/>
  <c r="J13" i="5"/>
  <c r="I7" i="9"/>
  <c r="J4" i="4"/>
  <c r="H10" i="4"/>
  <c r="H15" i="4" s="1"/>
  <c r="I6" i="4"/>
  <c r="I8" i="4" s="1"/>
  <c r="H2" i="8"/>
  <c r="H6" i="8" s="1"/>
  <c r="H8" i="8" s="1"/>
  <c r="H11" i="4"/>
  <c r="H14" i="4" s="1"/>
  <c r="H16" i="4"/>
  <c r="H3" i="10" l="1"/>
  <c r="H5" i="10" s="1"/>
  <c r="K6" i="18"/>
  <c r="K6" i="20"/>
  <c r="K6" i="19"/>
  <c r="L7" i="6"/>
  <c r="I2" i="11"/>
  <c r="J8" i="18"/>
  <c r="J8" i="19"/>
  <c r="K13" i="6"/>
  <c r="J7" i="10"/>
  <c r="J8" i="20"/>
  <c r="K5" i="14"/>
  <c r="K7" i="14" s="1"/>
  <c r="L3" i="14"/>
  <c r="I3" i="9"/>
  <c r="I5" i="9" s="1"/>
  <c r="I6" i="9" s="1"/>
  <c r="I8" i="9" s="1"/>
  <c r="I15" i="5"/>
  <c r="J7" i="8"/>
  <c r="K13" i="4"/>
  <c r="K4" i="7"/>
  <c r="J6" i="7"/>
  <c r="J8" i="7" s="1"/>
  <c r="I10" i="7"/>
  <c r="I11" i="7" s="1"/>
  <c r="I14" i="7" s="1"/>
  <c r="L4" i="13"/>
  <c r="L5" i="13" s="1"/>
  <c r="L7" i="13" s="1"/>
  <c r="K5" i="13"/>
  <c r="K7" i="13" s="1"/>
  <c r="B44" i="15"/>
  <c r="J11" i="5"/>
  <c r="J14" i="5" s="1"/>
  <c r="J2" i="9"/>
  <c r="J7" i="9"/>
  <c r="K13" i="5"/>
  <c r="C39" i="15"/>
  <c r="C40" i="15"/>
  <c r="F29" i="17"/>
  <c r="F14" i="6"/>
  <c r="F29" i="15"/>
  <c r="F29" i="16"/>
  <c r="H15" i="7"/>
  <c r="H3" i="11"/>
  <c r="H5" i="11" s="1"/>
  <c r="H6" i="11" s="1"/>
  <c r="H8" i="11" s="1"/>
  <c r="J4" i="6"/>
  <c r="I2" i="19"/>
  <c r="I4" i="19" s="1"/>
  <c r="I7" i="19" s="1"/>
  <c r="I9" i="19" s="1"/>
  <c r="I6" i="6"/>
  <c r="I8" i="6" s="1"/>
  <c r="I2" i="18"/>
  <c r="I4" i="18" s="1"/>
  <c r="I7" i="18" s="1"/>
  <c r="I9" i="18" s="1"/>
  <c r="I2" i="20"/>
  <c r="I4" i="20" s="1"/>
  <c r="I7" i="20" s="1"/>
  <c r="I9" i="20" s="1"/>
  <c r="H10" i="6"/>
  <c r="H15" i="6" s="1"/>
  <c r="K7" i="11"/>
  <c r="L13" i="7"/>
  <c r="L7" i="11" s="1"/>
  <c r="I16" i="5"/>
  <c r="B44" i="17"/>
  <c r="G11" i="6"/>
  <c r="G16" i="6"/>
  <c r="G2" i="10"/>
  <c r="G6" i="10" s="1"/>
  <c r="G8" i="10" s="1"/>
  <c r="I3" i="8"/>
  <c r="I5" i="8" s="1"/>
  <c r="J10" i="5"/>
  <c r="K6" i="5"/>
  <c r="K8" i="5" s="1"/>
  <c r="L4" i="5"/>
  <c r="H2" i="10"/>
  <c r="H6" i="10" s="1"/>
  <c r="H8" i="10" s="1"/>
  <c r="H16" i="6"/>
  <c r="K5" i="12"/>
  <c r="K7" i="12" s="1"/>
  <c r="L3" i="12"/>
  <c r="B44" i="16"/>
  <c r="C39" i="16"/>
  <c r="C40" i="16"/>
  <c r="C39" i="17"/>
  <c r="C40" i="17"/>
  <c r="I2" i="8"/>
  <c r="I16" i="4"/>
  <c r="I10" i="4"/>
  <c r="I11" i="4" s="1"/>
  <c r="I14" i="4" s="1"/>
  <c r="K4" i="4"/>
  <c r="J6" i="4"/>
  <c r="J8" i="4" s="1"/>
  <c r="H16" i="7"/>
  <c r="H11" i="6" l="1"/>
  <c r="H14" i="6" s="1"/>
  <c r="I15" i="4"/>
  <c r="I3" i="10"/>
  <c r="I5" i="10" s="1"/>
  <c r="I15" i="7"/>
  <c r="J16" i="7" s="1"/>
  <c r="I3" i="11"/>
  <c r="I5" i="11" s="1"/>
  <c r="I6" i="11"/>
  <c r="I8" i="11" s="1"/>
  <c r="B16" i="13"/>
  <c r="B17" i="13" s="1"/>
  <c r="C5" i="1" s="1"/>
  <c r="B13" i="12"/>
  <c r="B14" i="12" s="1"/>
  <c r="B15" i="12" s="1"/>
  <c r="L5" i="12"/>
  <c r="L7" i="12" s="1"/>
  <c r="B16" i="12" s="1"/>
  <c r="B17" i="12" s="1"/>
  <c r="B5" i="1" s="1"/>
  <c r="D30" i="17"/>
  <c r="D32" i="17" s="1"/>
  <c r="D33" i="17" s="1"/>
  <c r="D34" i="17" s="1"/>
  <c r="D35" i="17"/>
  <c r="K7" i="10"/>
  <c r="K8" i="20"/>
  <c r="K8" i="19"/>
  <c r="K8" i="18"/>
  <c r="L13" i="6"/>
  <c r="J2" i="11"/>
  <c r="D30" i="15"/>
  <c r="D32" i="15" s="1"/>
  <c r="D33" i="15" s="1"/>
  <c r="D34" i="15" s="1"/>
  <c r="D35" i="15"/>
  <c r="L13" i="5"/>
  <c r="L7" i="9" s="1"/>
  <c r="K7" i="9"/>
  <c r="J3" i="8"/>
  <c r="J5" i="8" s="1"/>
  <c r="J2" i="8"/>
  <c r="J16" i="4"/>
  <c r="J10" i="4"/>
  <c r="J11" i="4" s="1"/>
  <c r="J14" i="4" s="1"/>
  <c r="L4" i="4"/>
  <c r="K6" i="4"/>
  <c r="K8" i="4" s="1"/>
  <c r="K10" i="5"/>
  <c r="K11" i="5" s="1"/>
  <c r="K14" i="5" s="1"/>
  <c r="L6" i="5"/>
  <c r="L8" i="5" s="1"/>
  <c r="M4" i="5"/>
  <c r="I16" i="6"/>
  <c r="I2" i="10"/>
  <c r="I6" i="10" s="1"/>
  <c r="I8" i="10" s="1"/>
  <c r="B13" i="14"/>
  <c r="B14" i="14" s="1"/>
  <c r="B15" i="14" s="1"/>
  <c r="L5" i="14"/>
  <c r="L7" i="14" s="1"/>
  <c r="B16" i="14" s="1"/>
  <c r="D35" i="16"/>
  <c r="D30" i="16"/>
  <c r="D32" i="16" s="1"/>
  <c r="D33" i="16" s="1"/>
  <c r="J10" i="7"/>
  <c r="J11" i="7" s="1"/>
  <c r="J14" i="7" s="1"/>
  <c r="L4" i="7"/>
  <c r="K6" i="7"/>
  <c r="K8" i="7" s="1"/>
  <c r="L6" i="20"/>
  <c r="L6" i="19"/>
  <c r="L6" i="18"/>
  <c r="J15" i="5"/>
  <c r="K16" i="5" s="1"/>
  <c r="J3" i="9"/>
  <c r="J5" i="9" s="1"/>
  <c r="J6" i="9" s="1"/>
  <c r="J8" i="9" s="1"/>
  <c r="J16" i="5"/>
  <c r="G14" i="6"/>
  <c r="G29" i="16"/>
  <c r="G29" i="17"/>
  <c r="G29" i="15"/>
  <c r="I16" i="7"/>
  <c r="K7" i="8"/>
  <c r="L13" i="4"/>
  <c r="L7" i="8" s="1"/>
  <c r="K2" i="9"/>
  <c r="I6" i="8"/>
  <c r="I8" i="8" s="1"/>
  <c r="J2" i="19"/>
  <c r="J4" i="19" s="1"/>
  <c r="J7" i="19" s="1"/>
  <c r="J9" i="19" s="1"/>
  <c r="J2" i="18"/>
  <c r="J4" i="18" s="1"/>
  <c r="J7" i="18" s="1"/>
  <c r="J9" i="18" s="1"/>
  <c r="J2" i="20"/>
  <c r="J4" i="20" s="1"/>
  <c r="J7" i="20" s="1"/>
  <c r="J9" i="20" s="1"/>
  <c r="J6" i="6"/>
  <c r="J8" i="6" s="1"/>
  <c r="I10" i="6"/>
  <c r="I15" i="6" s="1"/>
  <c r="K4" i="6"/>
  <c r="J15" i="4" l="1"/>
  <c r="I11" i="6"/>
  <c r="I14" i="6" s="1"/>
  <c r="D37" i="17"/>
  <c r="D36" i="17"/>
  <c r="D37" i="15"/>
  <c r="D36" i="15"/>
  <c r="J11" i="6"/>
  <c r="J14" i="6" s="1"/>
  <c r="J16" i="6"/>
  <c r="J2" i="10"/>
  <c r="K3" i="8"/>
  <c r="K5" i="8" s="1"/>
  <c r="K15" i="4"/>
  <c r="D38" i="17"/>
  <c r="D39" i="17" s="1"/>
  <c r="D38" i="15"/>
  <c r="D39" i="15" s="1"/>
  <c r="J6" i="11"/>
  <c r="J8" i="11" s="1"/>
  <c r="K3" i="9"/>
  <c r="K5" i="9" s="1"/>
  <c r="K6" i="9" s="1"/>
  <c r="K8" i="9" s="1"/>
  <c r="K15" i="5"/>
  <c r="L10" i="5"/>
  <c r="M6" i="5"/>
  <c r="M8" i="5" s="1"/>
  <c r="K2" i="11"/>
  <c r="K2" i="8"/>
  <c r="K16" i="4"/>
  <c r="J6" i="8"/>
  <c r="J8" i="8" s="1"/>
  <c r="J3" i="11"/>
  <c r="J5" i="11" s="1"/>
  <c r="J15" i="7"/>
  <c r="L8" i="20"/>
  <c r="L8" i="19"/>
  <c r="L7" i="10"/>
  <c r="L8" i="18"/>
  <c r="D34" i="16"/>
  <c r="K2" i="18"/>
  <c r="K4" i="18" s="1"/>
  <c r="K7" i="18" s="1"/>
  <c r="K9" i="18" s="1"/>
  <c r="K2" i="20"/>
  <c r="K4" i="20" s="1"/>
  <c r="K7" i="20" s="1"/>
  <c r="K9" i="20" s="1"/>
  <c r="J10" i="6"/>
  <c r="L4" i="6"/>
  <c r="K6" i="6"/>
  <c r="K8" i="6" s="1"/>
  <c r="K2" i="19"/>
  <c r="K4" i="19" s="1"/>
  <c r="K7" i="19" s="1"/>
  <c r="K9" i="19" s="1"/>
  <c r="L2" i="9"/>
  <c r="L11" i="5"/>
  <c r="L14" i="5" s="1"/>
  <c r="B20" i="5" s="1"/>
  <c r="M4" i="7"/>
  <c r="K10" i="7"/>
  <c r="K11" i="7" s="1"/>
  <c r="K14" i="7" s="1"/>
  <c r="L6" i="7"/>
  <c r="L8" i="7" s="1"/>
  <c r="K10" i="4"/>
  <c r="K11" i="4" s="1"/>
  <c r="K14" i="4" s="1"/>
  <c r="M4" i="4"/>
  <c r="L6" i="4"/>
  <c r="L8" i="4" s="1"/>
  <c r="J3" i="10"/>
  <c r="J5" i="10" s="1"/>
  <c r="J15" i="6"/>
  <c r="B17" i="14"/>
  <c r="D5" i="1" s="1"/>
  <c r="J6" i="10" l="1"/>
  <c r="J8" i="10" s="1"/>
  <c r="L2" i="11"/>
  <c r="K15" i="7"/>
  <c r="K3" i="11"/>
  <c r="K5" i="11" s="1"/>
  <c r="L3" i="8"/>
  <c r="L5" i="8" s="1"/>
  <c r="L3" i="9"/>
  <c r="L5" i="9" s="1"/>
  <c r="L6" i="9" s="1"/>
  <c r="L8" i="9" s="1"/>
  <c r="B10" i="9" s="1"/>
  <c r="L15" i="5"/>
  <c r="B15" i="9" s="1"/>
  <c r="L10" i="7"/>
  <c r="L11" i="7" s="1"/>
  <c r="L14" i="7" s="1"/>
  <c r="B20" i="7" s="1"/>
  <c r="M6" i="7"/>
  <c r="M8" i="7" s="1"/>
  <c r="E30" i="17"/>
  <c r="E32" i="17" s="1"/>
  <c r="E33" i="17" s="1"/>
  <c r="E35" i="17"/>
  <c r="E35" i="15"/>
  <c r="E30" i="15"/>
  <c r="E32" i="15" s="1"/>
  <c r="E33" i="15" s="1"/>
  <c r="D40" i="17"/>
  <c r="D40" i="15"/>
  <c r="K16" i="6"/>
  <c r="K2" i="10"/>
  <c r="L2" i="20"/>
  <c r="L4" i="20" s="1"/>
  <c r="K10" i="6"/>
  <c r="K11" i="6" s="1"/>
  <c r="K14" i="6" s="1"/>
  <c r="M4" i="6"/>
  <c r="L2" i="18"/>
  <c r="L4" i="18" s="1"/>
  <c r="L2" i="19"/>
  <c r="L4" i="19" s="1"/>
  <c r="L6" i="6"/>
  <c r="L8" i="6" s="1"/>
  <c r="K3" i="10"/>
  <c r="K5" i="10" s="1"/>
  <c r="K15" i="6"/>
  <c r="K16" i="7"/>
  <c r="K6" i="11"/>
  <c r="K8" i="11" s="1"/>
  <c r="L10" i="4"/>
  <c r="L11" i="4" s="1"/>
  <c r="L14" i="4" s="1"/>
  <c r="B20" i="4" s="1"/>
  <c r="M6" i="4"/>
  <c r="M8" i="4" s="1"/>
  <c r="B11" i="9"/>
  <c r="M10" i="5"/>
  <c r="M11" i="5" s="1"/>
  <c r="B18" i="5" s="1"/>
  <c r="B19" i="5" s="1"/>
  <c r="L16" i="5"/>
  <c r="K6" i="8"/>
  <c r="K8" i="8" s="1"/>
  <c r="L2" i="8"/>
  <c r="L16" i="4"/>
  <c r="D36" i="16"/>
  <c r="D37" i="16"/>
  <c r="D38" i="16" s="1"/>
  <c r="L15" i="4" l="1"/>
  <c r="B15" i="8" s="1"/>
  <c r="L6" i="8"/>
  <c r="L8" i="8" s="1"/>
  <c r="B10" i="8" s="1"/>
  <c r="B21" i="5"/>
  <c r="L2" i="10"/>
  <c r="L16" i="6"/>
  <c r="B14" i="18"/>
  <c r="B15" i="18" s="1"/>
  <c r="L7" i="18"/>
  <c r="L9" i="18" s="1"/>
  <c r="B16" i="18" s="1"/>
  <c r="B17" i="18" s="1"/>
  <c r="B19" i="18" s="1"/>
  <c r="B14" i="20"/>
  <c r="B15" i="20" s="1"/>
  <c r="L7" i="20"/>
  <c r="L9" i="20" s="1"/>
  <c r="B16" i="20" s="1"/>
  <c r="B17" i="20" s="1"/>
  <c r="B19" i="20" s="1"/>
  <c r="E34" i="15"/>
  <c r="L6" i="11"/>
  <c r="L8" i="11" s="1"/>
  <c r="B10" i="11" s="1"/>
  <c r="B11" i="11"/>
  <c r="M10" i="7"/>
  <c r="M11" i="7" s="1"/>
  <c r="B18" i="7" s="1"/>
  <c r="B19" i="7" s="1"/>
  <c r="L10" i="6"/>
  <c r="L15" i="6" s="1"/>
  <c r="B15" i="10" s="1"/>
  <c r="M6" i="6"/>
  <c r="M8" i="6" s="1"/>
  <c r="L3" i="11"/>
  <c r="L5" i="11" s="1"/>
  <c r="L15" i="7"/>
  <c r="B15" i="11" s="1"/>
  <c r="B11" i="8"/>
  <c r="M10" i="4"/>
  <c r="M11" i="4" s="1"/>
  <c r="B18" i="4" s="1"/>
  <c r="B19" i="4" s="1"/>
  <c r="E34" i="17"/>
  <c r="L16" i="7"/>
  <c r="D39" i="16"/>
  <c r="D40" i="16"/>
  <c r="L3" i="10"/>
  <c r="L5" i="10" s="1"/>
  <c r="B14" i="19"/>
  <c r="B15" i="19" s="1"/>
  <c r="L7" i="19"/>
  <c r="L9" i="19" s="1"/>
  <c r="B16" i="19" s="1"/>
  <c r="B17" i="19" s="1"/>
  <c r="B19" i="19" s="1"/>
  <c r="K6" i="10"/>
  <c r="K8" i="10" s="1"/>
  <c r="B17" i="9"/>
  <c r="B16" i="9"/>
  <c r="B18" i="9" l="1"/>
  <c r="B19" i="9" s="1"/>
  <c r="B20" i="9" s="1"/>
  <c r="L11" i="6"/>
  <c r="L14" i="6" s="1"/>
  <c r="B20" i="6" s="1"/>
  <c r="L6" i="10"/>
  <c r="L8" i="10" s="1"/>
  <c r="B10" i="10" s="1"/>
  <c r="B21" i="7"/>
  <c r="B21" i="4"/>
  <c r="B16" i="8"/>
  <c r="B17" i="8"/>
  <c r="E37" i="17"/>
  <c r="E38" i="17" s="1"/>
  <c r="E36" i="17"/>
  <c r="B17" i="11"/>
  <c r="B16" i="11"/>
  <c r="B18" i="11" s="1"/>
  <c r="B19" i="11" s="1"/>
  <c r="B20" i="11" s="1"/>
  <c r="E35" i="16"/>
  <c r="E30" i="16"/>
  <c r="E32" i="16" s="1"/>
  <c r="E33" i="16" s="1"/>
  <c r="E34" i="16" s="1"/>
  <c r="E36" i="15"/>
  <c r="E37" i="15"/>
  <c r="E38" i="15" s="1"/>
  <c r="B11" i="10"/>
  <c r="M10" i="6"/>
  <c r="M11" i="6" s="1"/>
  <c r="B18" i="6" s="1"/>
  <c r="B19" i="6" s="1"/>
  <c r="B21" i="9"/>
  <c r="B22" i="9" s="1"/>
  <c r="B10" i="1" s="1"/>
  <c r="B26" i="5"/>
  <c r="B28" i="5" s="1"/>
  <c r="B30" i="5" s="1"/>
  <c r="B4" i="1" s="1"/>
  <c r="B31" i="5"/>
  <c r="B21" i="6" l="1"/>
  <c r="B31" i="6"/>
  <c r="E37" i="16"/>
  <c r="E38" i="16" s="1"/>
  <c r="E36" i="16"/>
  <c r="B17" i="10"/>
  <c r="B16" i="10"/>
  <c r="B18" i="10" s="1"/>
  <c r="B19" i="10" s="1"/>
  <c r="B20" i="10" s="1"/>
  <c r="B21" i="8"/>
  <c r="B26" i="4"/>
  <c r="B28" i="4" s="1"/>
  <c r="B30" i="4" s="1"/>
  <c r="C3" i="1" s="1"/>
  <c r="B31" i="4"/>
  <c r="B26" i="7"/>
  <c r="B28" i="7" s="1"/>
  <c r="B30" i="7" s="1"/>
  <c r="D4" i="1" s="1"/>
  <c r="B21" i="11"/>
  <c r="B22" i="11" s="1"/>
  <c r="D10" i="1" s="1"/>
  <c r="E39" i="17"/>
  <c r="E40" i="17"/>
  <c r="B18" i="8"/>
  <c r="B19" i="8" s="1"/>
  <c r="B20" i="8" s="1"/>
  <c r="E39" i="15"/>
  <c r="E40" i="15"/>
  <c r="B31" i="7"/>
  <c r="E39" i="16" l="1"/>
  <c r="E40" i="16"/>
  <c r="F35" i="15"/>
  <c r="F30" i="15"/>
  <c r="F32" i="15" s="1"/>
  <c r="F33" i="15" s="1"/>
  <c r="F34" i="15" s="1"/>
  <c r="B22" i="8"/>
  <c r="F30" i="17"/>
  <c r="F32" i="17" s="1"/>
  <c r="F33" i="17" s="1"/>
  <c r="F35" i="17"/>
  <c r="B21" i="10"/>
  <c r="B22" i="10" s="1"/>
  <c r="C10" i="1" s="1"/>
  <c r="B26" i="6"/>
  <c r="B28" i="6" s="1"/>
  <c r="B30" i="6" s="1"/>
  <c r="F36" i="15" l="1"/>
  <c r="F37" i="15"/>
  <c r="F35" i="16"/>
  <c r="F30" i="16"/>
  <c r="F32" i="16" s="1"/>
  <c r="F33" i="16" s="1"/>
  <c r="F38" i="15"/>
  <c r="F39" i="15" s="1"/>
  <c r="F34" i="17"/>
  <c r="F34" i="16"/>
  <c r="B20" i="19"/>
  <c r="B21" i="19" s="1"/>
  <c r="C9" i="1" s="1"/>
  <c r="B20" i="18"/>
  <c r="B21" i="18" s="1"/>
  <c r="B9" i="1" s="1"/>
  <c r="B20" i="20"/>
  <c r="B21" i="20" s="1"/>
  <c r="D9" i="1" s="1"/>
  <c r="C4" i="1"/>
  <c r="G30" i="15" l="1"/>
  <c r="G32" i="15" s="1"/>
  <c r="G33" i="15" s="1"/>
  <c r="G35" i="15"/>
  <c r="F36" i="17"/>
  <c r="F37" i="17"/>
  <c r="F38" i="17" s="1"/>
  <c r="F37" i="16"/>
  <c r="F38" i="16" s="1"/>
  <c r="F36" i="16"/>
  <c r="F40" i="15"/>
  <c r="F39" i="16" l="1"/>
  <c r="F40" i="16"/>
  <c r="G34" i="15"/>
  <c r="F39" i="17"/>
  <c r="F40" i="17"/>
  <c r="G30" i="17" l="1"/>
  <c r="G32" i="17" s="1"/>
  <c r="G33" i="17" s="1"/>
  <c r="G35" i="17"/>
  <c r="G37" i="15"/>
  <c r="G38" i="15" s="1"/>
  <c r="G36" i="15"/>
  <c r="B41" i="15" s="1"/>
  <c r="G35" i="16"/>
  <c r="G30" i="16"/>
  <c r="G32" i="16" s="1"/>
  <c r="G33" i="16" s="1"/>
  <c r="G34" i="16" s="1"/>
  <c r="G37" i="16" l="1"/>
  <c r="G36" i="16"/>
  <c r="B41" i="16" s="1"/>
  <c r="G38" i="16"/>
  <c r="G39" i="16" s="1"/>
  <c r="G39" i="15"/>
  <c r="G40" i="15"/>
  <c r="G34" i="17"/>
  <c r="B45" i="15" l="1"/>
  <c r="B46" i="15" s="1"/>
  <c r="B47" i="15" s="1"/>
  <c r="B49" i="15" s="1"/>
  <c r="G40" i="16"/>
  <c r="B45" i="16" s="1"/>
  <c r="B46" i="16" s="1"/>
  <c r="B47" i="16" s="1"/>
  <c r="B49" i="16" s="1"/>
  <c r="G37" i="17"/>
  <c r="G38" i="17" s="1"/>
  <c r="G36" i="17"/>
  <c r="B41" i="17" s="1"/>
  <c r="G39" i="17" l="1"/>
  <c r="G40" i="17"/>
  <c r="B45" i="17" l="1"/>
  <c r="B46" i="17" s="1"/>
  <c r="B47" i="17" s="1"/>
  <c r="B49" i="17" s="1"/>
</calcChain>
</file>

<file path=xl/sharedStrings.xml><?xml version="1.0" encoding="utf-8"?>
<sst xmlns="http://schemas.openxmlformats.org/spreadsheetml/2006/main" count="843" uniqueCount="312">
  <si>
    <t>Low / Bear</t>
  </si>
  <si>
    <t>Base / median</t>
  </si>
  <si>
    <t>High / Bull</t>
  </si>
  <si>
    <t>Reference price, Nasdaq close 29 Aug 2025</t>
  </si>
  <si>
    <t>DCF, original case (70 proposals as researched)</t>
  </si>
  <si>
    <t>DCF: Bear / Base / Bull</t>
  </si>
  <si>
    <t>Dividend discount: Bear / Base / Bull</t>
  </si>
  <si>
    <t>Trading comparables: 25th percentile / median / 75th percentile</t>
  </si>
  <si>
    <t>Precedent transactions: 25th percentile / median / 75th percentile</t>
  </si>
  <si>
    <t>Buyout fund, highest price at the target return (price solved in Python)</t>
  </si>
  <si>
    <t>Strategic buyer, Base value plus all synergies: Bear / Base / Bull</t>
  </si>
  <si>
    <t>EVA minus DCF operating value, USD m (zero when consistent)</t>
  </si>
  <si>
    <t>Id</t>
  </si>
  <si>
    <t>Source</t>
  </si>
  <si>
    <t>As of</t>
  </si>
  <si>
    <t>Published</t>
  </si>
  <si>
    <t>Link or file</t>
  </si>
  <si>
    <t>ust-par-2025-08-29</t>
  </si>
  <si>
    <t>US Treasury daily par yield curve, 29 Aug 2025</t>
  </si>
  <si>
    <t>2025-08-29</t>
  </si>
  <si>
    <t>https://home.treasury.gov/resource-center/data-chart-center/interest-rates/TextView?type=daily_treasury_yield_curve&amp;field_tdr_date_value=2025</t>
  </si>
  <si>
    <t>damodaran-erp-2025-09</t>
  </si>
  <si>
    <t>Damodaran, implied ERP by month (start of September 2025)</t>
  </si>
  <si>
    <t>2025-09-01</t>
  </si>
  <si>
    <t>https://pages.stern.nyu.edu/~adamodar/pc/implprem/ERPbymonth.xlsx</t>
  </si>
  <si>
    <t>damodaran-betas-2025-01</t>
  </si>
  <si>
    <t>Damodaran, US industry betas, January 2025</t>
  </si>
  <si>
    <t>2025-01-06</t>
  </si>
  <si>
    <t>https://pages.stern.nyu.edu/~adamodar/pc/archives/betas24.xls</t>
  </si>
  <si>
    <t>damodaran-wacc-2025-01</t>
  </si>
  <si>
    <t>Damodaran, US industry cost of capital, January 2025</t>
  </si>
  <si>
    <t>2025-01-08</t>
  </si>
  <si>
    <t>https://pages.stern.nyu.edu/~adamodar/pc/archives/wacc24.xls</t>
  </si>
  <si>
    <t>yahoo-prices</t>
  </si>
  <si>
    <t>WDFC and S&amp;P 500 weekly and monthly adjusted closes, Aug 2020 to Aug 2025 (Yahoo Finance chart API)</t>
  </si>
  <si>
    <t>models/data/market/</t>
  </si>
  <si>
    <t>sec-xbrl</t>
  </si>
  <si>
    <t>WD-40 Company XBRL company facts (SEC EDGAR)</t>
  </si>
  <si>
    <t>https://data.sec.gov/api/xbrl/companyfacts/CIK0000105132.json</t>
  </si>
  <si>
    <t>wdfc-8k-2025-10-22</t>
  </si>
  <si>
    <t>WD-40 Company FY2025 results and FY2026 guidance (8-K exhibit 99.1, 22 Oct 2025)</t>
  </si>
  <si>
    <t>2025-10-22</t>
  </si>
  <si>
    <t>https://www.sec.gov/Archives/edgar/data/105132/000010513225000061/wdfc-20251022xexx991.htm</t>
  </si>
  <si>
    <t>sec-chd</t>
  </si>
  <si>
    <t>Church &amp; Dwight Co., Inc. 10-Q filed 2025-08-01 (SEC XBRL company facts)</t>
  </si>
  <si>
    <t>https://www.sec.gov/cgi-bin/browse-edgar?action=getcompany&amp;CIK=CHD&amp;type=10-&amp;dateb=20250829</t>
  </si>
  <si>
    <t>sec-clx</t>
  </si>
  <si>
    <t>The Clorox Company 10-K filed 2025-08-08 (SEC XBRL company facts)</t>
  </si>
  <si>
    <t>https://www.sec.gov/cgi-bin/browse-edgar?action=getcompany&amp;CIK=CLX&amp;type=10-&amp;dateb=20250829</t>
  </si>
  <si>
    <t>sec-enr</t>
  </si>
  <si>
    <t>Energizer Holdings, Inc. 10-Q filed 2025-08-04 (SEC XBRL company facts)</t>
  </si>
  <si>
    <t>https://www.sec.gov/cgi-bin/browse-edgar?action=getcompany&amp;CIK=ENR&amp;type=10-&amp;dateb=20250829</t>
  </si>
  <si>
    <t>sec-rpm</t>
  </si>
  <si>
    <t>Rpm International Inc. 10-K filed 2025-07-24 (SEC XBRL company facts)</t>
  </si>
  <si>
    <t>https://www.sec.gov/cgi-bin/browse-edgar?action=getcompany&amp;CIK=RPM&amp;type=10-&amp;dateb=20250829</t>
  </si>
  <si>
    <t>sec-kwr</t>
  </si>
  <si>
    <t>Quaker Chemical Corporation 10-Q filed 2025-07-31 (SEC XBRL company facts)</t>
  </si>
  <si>
    <t>https://www.sec.gov/cgi-bin/browse-edgar?action=getcompany&amp;CIK=KWR&amp;type=10-&amp;dateb=20250829</t>
  </si>
  <si>
    <t>yahoo-peers</t>
  </si>
  <si>
    <t>Peer closing prices on 29 Aug 2025 (Yahoo Finance chart API)</t>
  </si>
  <si>
    <t>deal-energizer-gac</t>
  </si>
  <si>
    <t>Energizer Holdings / Spectrum Brands Global Auto Care (Armor All, STP, A/C Pro), announced 2018-11-15</t>
  </si>
  <si>
    <t>2018-11-15</t>
  </si>
  <si>
    <t>https://www.sec.gov/Archives/edgar/data/0001632790/000119312518327420/d647259dex992.htm</t>
  </si>
  <si>
    <t>deal-quaker-houghton</t>
  </si>
  <si>
    <t>Quaker Chemical / Houghton International, announced 2017-04-05</t>
  </si>
  <si>
    <t>2017-04-05</t>
  </si>
  <si>
    <t>https://www.sec.gov/Archives/edgar/data/81362/000114420417019052/v463538_ex99-1.htm</t>
  </si>
  <si>
    <t>deal-chd-waterpik</t>
  </si>
  <si>
    <t>Church &amp; Dwight / Water Pik, Inc., announced 2017-07-17</t>
  </si>
  <si>
    <t>2017-07-17</t>
  </si>
  <si>
    <t>https://www.sec.gov/Archives/edgar/data/313927/000119312517228910/d426675dex991.htm</t>
  </si>
  <si>
    <t>deal-aramco-valvoline-gp</t>
  </si>
  <si>
    <t>Aramco / Valvoline Global Products (lubricants), announced 2022-08-01</t>
  </si>
  <si>
    <t>2022-08-01</t>
  </si>
  <si>
    <t>https://www.sec.gov/Archives/edgar/data/1674910/000119312522207637/d311927dex991.htm</t>
  </si>
  <si>
    <t>deal-chd-therabreath</t>
  </si>
  <si>
    <t>Church &amp; Dwight / TheraBreath, announced 2021-11-29</t>
  </si>
  <si>
    <t>2021-11-29</t>
  </si>
  <si>
    <t>https://s203.q4cdn.com/233583214/files/doc_events/2021/11/11-29-21-Therabreath-Announcement.pdf</t>
  </si>
  <si>
    <t>deal-newmountain-zep</t>
  </si>
  <si>
    <t>New Mountain Capital / Zep Inc., announced 2015-04-08</t>
  </si>
  <si>
    <t>2015-04-08</t>
  </si>
  <si>
    <t>https://www.sec.gov/Archives/edgar/data/0001408287/000110465915026467/a15-8802_1ex99d1.htm</t>
  </si>
  <si>
    <t>deal-spectrum-aag</t>
  </si>
  <si>
    <t>Spectrum Brands / Armored AutoGroup (Armor All, STP, A/C Pro), announced 2015-04-28</t>
  </si>
  <si>
    <t>2015-04-28</t>
  </si>
  <si>
    <t>https://www.sec.gov/Archives/edgar/data/1487730/000095014215000932/eh1500571_8k.htm</t>
  </si>
  <si>
    <t>nyfed-sofr-2025-08-29</t>
  </si>
  <si>
    <t>SOFR, New York Fed, 29 Aug 2025</t>
  </si>
  <si>
    <t>https://markets.newyorkfed.org/api/rates/secured/sofr/search.json?startDate=2025-08-25&amp;endDate=2025-09-02</t>
  </si>
  <si>
    <t>price-close</t>
  </si>
  <si>
    <t>WDFC daily prices, Nasdaq (Yahoo Finance chart API)</t>
  </si>
  <si>
    <t>models/data/market/wdfc_daily_2024-08-01_2025-09-09.csv</t>
  </si>
  <si>
    <t>Definitions</t>
  </si>
  <si>
    <t>Money in USD millions unless a row says per share; per-share values in USD.</t>
  </si>
  <si>
    <t>Reference price: $216.04, the Nasdaq unadjusted close on 29 Aug 2025, the last trading day of fiscal 2025.</t>
  </si>
  <si>
    <t>Filings: up to the FY2025 10-K published 27 Oct 2025, so the case is a retrospective review, not a forecast made on the price date.</t>
  </si>
  <si>
    <t>Per-share values divide by 13.633263m shares: common shares plus RSUs, target MSUs and vested DPUs (case proposal Input sheet!B21).</t>
  </si>
  <si>
    <t>EBITDA: reported operating income plus depreciation and amortization; peers add back the one-off charges listed in Comps peers.</t>
  </si>
  <si>
    <t>Model EBIT: after the Ginzu workbook's three-year R&amp;D capitalization (+2.27 in FY2025).</t>
  </si>
  <si>
    <t>Scenario inputs are the resolved Ginzu driver values of each case, copied as labelled constants; the DCF sheets reproduce the page engine row by row.</t>
  </si>
  <si>
    <t>Comps and precedent quartiles are computed in Python and entered as constants; changing a peer or deal needs a rebuild.</t>
  </si>
  <si>
    <t>Original</t>
  </si>
  <si>
    <t>Bear</t>
  </si>
  <si>
    <t>Base</t>
  </si>
  <si>
    <t>Bull</t>
  </si>
  <si>
    <t>Revenue FY2025 (USD m)</t>
  </si>
  <si>
    <t>EBIT FY2025 after R&amp;D capitalization (USD m)</t>
  </si>
  <si>
    <t>Invested capital FY2025 (USD m)</t>
  </si>
  <si>
    <t>Debt (USD m)</t>
  </si>
  <si>
    <t>Cash (USD m)</t>
  </si>
  <si>
    <t>Minority interests (USD m)</t>
  </si>
  <si>
    <t>Non-operating assets (USD m)</t>
  </si>
  <si>
    <t>Value of employee options (USD m)</t>
  </si>
  <si>
    <t>Shares, DCF denominator (million)</t>
  </si>
  <si>
    <t>Revenue growth, year 1 (rate)</t>
  </si>
  <si>
    <t>Revenue growth, years 2-5 (rate)</t>
  </si>
  <si>
    <t>Revenue growth after year 10 (rate)</t>
  </si>
  <si>
    <t>Operating margin, year 1 (rate)</t>
  </si>
  <si>
    <t>Target operating margin (rate)</t>
  </si>
  <si>
    <t>Margin convergence year (year)</t>
  </si>
  <si>
    <t>Tax rate, base year to year 5 (rate)</t>
  </si>
  <si>
    <t>Tax rate after year 10 (rate)</t>
  </si>
  <si>
    <t>Sales to capital, years 1-5 (ratio)</t>
  </si>
  <si>
    <t>Sales to capital, years 6-10 (ratio)</t>
  </si>
  <si>
    <t>WACC, years 1-5 (rate)</t>
  </si>
  <si>
    <t>WACC after year 10 (rate)</t>
  </si>
  <si>
    <t>Terminal ROIC override (1 = on) (flag)</t>
  </si>
  <si>
    <t>Terminal ROIC when the override is on (rate)</t>
  </si>
  <si>
    <t>Base year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</si>
  <si>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</si>
  <si>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</si>
  <si>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</si>
  <si>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</si>
  <si>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</si>
  <si>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</si>
  <si>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</si>
  <si>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</si>
  <si>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</si>
  <si>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</si>
  <si>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Terminal year</t>
  </si>
  <si>
    <t>Year</t>
  </si>
  <si>
    <t>Revenue growth</t>
  </si>
  <si>
    <t>Revenue</t>
  </si>
  <si>
    <t>Operating margin</t>
  </si>
  <si>
    <t>EBIT</t>
  </si>
  <si>
    <t>Tax rate</t>
  </si>
  <si>
    <t>NOPAT</t>
  </si>
  <si>
    <t>Sales to capital</t>
  </si>
  <si>
    <t>Reinvestment</t>
  </si>
  <si>
    <t>FCFF</t>
  </si>
  <si>
    <t>WACC</t>
  </si>
  <si>
    <t>Cumulative discount factor</t>
  </si>
  <si>
    <t>PV of FCFF</t>
  </si>
  <si>
    <t>Invested capital</t>
  </si>
  <si>
    <t>ROIC</t>
  </si>
  <si>
    <t>Terminal ROIC</t>
  </si>
  <si>
    <t>Terminal value</t>
  </si>
  <si>
    <t>PV of terminal value</t>
  </si>
  <si>
    <t>Sum of PV of FCFF, years 1-10</t>
  </si>
  <si>
    <t>Operating assets</t>
  </si>
  <si>
    <t>Debt</t>
  </si>
  <si>
    <t>Cash</t>
  </si>
  <si>
    <t>Minority interests</t>
  </si>
  <si>
    <t>Non-operating assets</t>
  </si>
  <si>
    <t>Equity value</t>
  </si>
  <si>
    <t>Value of employee options</t>
  </si>
  <si>
    <t>Common equity</t>
  </si>
  <si>
    <t>Shares</t>
  </si>
  <si>
    <t>Value per share</t>
  </si>
  <si>
    <t>PV of terminal value / operating assets</t>
  </si>
  <si>
    <t>Valuation</t>
  </si>
  <si>
    <t>Opening invested capital</t>
  </si>
  <si>
    <t>Capital charge</t>
  </si>
  <si>
    <t>Economic profit</t>
  </si>
  <si>
    <t>PV of economic profit</t>
  </si>
  <si>
    <t>Invested capital, base year</t>
  </si>
  <si>
    <t>Sum of PV of economic profit, years 1-10</t>
  </si>
  <si>
    <t>Terminal NOPAT</t>
  </si>
  <si>
    <t>Terminal WACC</t>
  </si>
  <si>
    <t>Terminal growth</t>
  </si>
  <si>
    <t>Invested capital, year 10</t>
  </si>
  <si>
    <t>Economic profit on existing capital, terminal year</t>
  </si>
  <si>
    <t>Value of economic profit on new capital</t>
  </si>
  <si>
    <t>Continuing value of economic profit</t>
  </si>
  <si>
    <t>PV of continuing value</t>
  </si>
  <si>
    <t>Operating value from economic profit</t>
  </si>
  <si>
    <t>Operating value from DCF</t>
  </si>
  <si>
    <t>Difference (EVA minus DCF)</t>
  </si>
  <si>
    <t>FY2025 / inputs</t>
  </si>
  <si>
    <t>EPS</t>
  </si>
  <si>
    <t>Payout ratio</t>
  </si>
  <si>
    <t>Dividend per share</t>
  </si>
  <si>
    <t>Discount factor</t>
  </si>
  <si>
    <t>PV of dividend</t>
  </si>
  <si>
    <t>Cost of equity</t>
  </si>
  <si>
    <t>EPS growth, years 1-10</t>
  </si>
  <si>
    <t>Terminal return on equity</t>
  </si>
  <si>
    <t>Terminal payout ratio</t>
  </si>
  <si>
    <t>Dividend, year 11</t>
  </si>
  <si>
    <t>Terminal value, end of year 10</t>
  </si>
  <si>
    <t>Sum of PV of dividends, years 1-10</t>
  </si>
  <si>
    <t>Entry / FY2025</t>
  </si>
  <si>
    <t>Entry price per share</t>
  </si>
  <si>
    <t>Diluted shares (m)</t>
  </si>
  <si>
    <t>Equity purchase price</t>
  </si>
  <si>
    <t>Existing debt refinanced</t>
  </si>
  <si>
    <t>Cash at entry</t>
  </si>
  <si>
    <t>Minimum cash</t>
  </si>
  <si>
    <t>Entry enterprise value</t>
  </si>
  <si>
    <t>EBITDA FY2025</t>
  </si>
  <si>
    <t>Entry EV / EBITDA</t>
  </si>
  <si>
    <t>Leverage (x FY2025 EBITDA)</t>
  </si>
  <si>
    <t>New debt</t>
  </si>
  <si>
    <t>SOFR, 29 Aug 2025</t>
  </si>
  <si>
    <t>Credit spread</t>
  </si>
  <si>
    <t>Interest rate</t>
  </si>
  <si>
    <t>Transaction fees (% of entry EV)</t>
  </si>
  <si>
    <t>Financing fees (% of new debt)</t>
  </si>
  <si>
    <t>Mandatory amortization (% of original debt a year)</t>
  </si>
  <si>
    <t>Exit fee (% of exit EV)</t>
  </si>
  <si>
    <t>Transaction fees</t>
  </si>
  <si>
    <t>Financing fees</t>
  </si>
  <si>
    <t>Total uses</t>
  </si>
  <si>
    <t>Excess cash used</t>
  </si>
  <si>
    <t>Sponsor equity</t>
  </si>
  <si>
    <t>Total sources</t>
  </si>
  <si>
    <t>Sources minus uses</t>
  </si>
  <si>
    <t>EBITDA (reported basis)</t>
  </si>
  <si>
    <t>FCFF before financing (DCF Base)</t>
  </si>
  <si>
    <t>Interest</t>
  </si>
  <si>
    <t>After-tax interest</t>
  </si>
  <si>
    <t>Cash flow after interest</t>
  </si>
  <si>
    <t>Cash available above minimum</t>
  </si>
  <si>
    <t>Mandatory repayment</t>
  </si>
  <si>
    <t>Funding shortfall (1 = yes)</t>
  </si>
  <si>
    <t>Cash sweep</t>
  </si>
  <si>
    <t>Debt repaid</t>
  </si>
  <si>
    <t>Debt, end of year</t>
  </si>
  <si>
    <t>Cash, end of year</t>
  </si>
  <si>
    <t>Feasible (1 = no funding shortfall)</t>
  </si>
  <si>
    <t>Exit EV / EBITDA</t>
  </si>
  <si>
    <t>Exit enterprise value</t>
  </si>
  <si>
    <t>Exit fee</t>
  </si>
  <si>
    <t>Exit equity value</t>
  </si>
  <si>
    <t>MOIC</t>
  </si>
  <si>
    <t>IRR</t>
  </si>
  <si>
    <t>Hurdle IRR</t>
  </si>
  <si>
    <t>Meets hurdle (1 = yes)</t>
  </si>
  <si>
    <t>R&amp;D capitalization adjustment (% of revenue)</t>
  </si>
  <si>
    <t>D&amp;A (% of revenue)</t>
  </si>
  <si>
    <t>Revenue (DCF Base)</t>
  </si>
  <si>
    <t>Phase-in</t>
  </si>
  <si>
    <t>Pre-tax cost synergies</t>
  </si>
  <si>
    <t>One-time costs to achieve</t>
  </si>
  <si>
    <t>Tax rate (DCF Base)</t>
  </si>
  <si>
    <t>After-tax net synergies</t>
  </si>
  <si>
    <t>Cumulative discount factor (DCF Base)</t>
  </si>
  <si>
    <t>PV of net synergies</t>
  </si>
  <si>
    <t>Run-rate synergies (% of revenue)</t>
  </si>
  <si>
    <t>One-time costs (x run-rate synergies)</t>
  </si>
  <si>
    <t>Terminal growth (DCF Base)</t>
  </si>
  <si>
    <t>Terminal WACC (DCF Base)</t>
  </si>
  <si>
    <t>Terminal value of synergies, end of year 10</t>
  </si>
  <si>
    <t>Sum of PV, years 1-10</t>
  </si>
  <si>
    <t>Value of synergies</t>
  </si>
  <si>
    <t>Shares (m)</t>
  </si>
  <si>
    <t>Synergy value per share</t>
  </si>
  <si>
    <t>Standalone Base value per share</t>
  </si>
  <si>
    <t>Value per share to a buyer that keeps all synergies</t>
  </si>
  <si>
    <t>Price 29 Aug 2025</t>
  </si>
  <si>
    <t>Market cap</t>
  </si>
  <si>
    <t>Enterprise value</t>
  </si>
  <si>
    <t>LTM revenue</t>
  </si>
  <si>
    <t>LTM EBIT</t>
  </si>
  <si>
    <t>One-off charges added back</t>
  </si>
  <si>
    <t>LTM D&amp;A</t>
  </si>
  <si>
    <t>Adjusted EBITDA</t>
  </si>
  <si>
    <t>Adjusted EBIT</t>
  </si>
  <si>
    <t>EV / adjusted EBITDA</t>
  </si>
  <si>
    <t>EV / adjusted EBIT</t>
  </si>
  <si>
    <t>Church &amp; Dwight Co., Inc.</t>
  </si>
  <si>
    <t>The Clorox Company</t>
  </si>
  <si>
    <t>Energizer Holdings, Inc.</t>
  </si>
  <si>
    <t>Rpm International Inc.</t>
  </si>
  <si>
    <t>Quaker Chemical Corporation</t>
  </si>
  <si>
    <t>25th percentile</t>
  </si>
  <si>
    <t>Median</t>
  </si>
  <si>
    <t>75th percentile</t>
  </si>
  <si>
    <t>EBIT FY2025 (reported)</t>
  </si>
  <si>
    <t>D&amp;A FY2025</t>
  </si>
  <si>
    <t>Shares, DCF denominator (m)</t>
  </si>
  <si>
    <t>Peer EV / EBITDA (computed in Python from Comps peers)</t>
  </si>
  <si>
    <t>Implied enterprise value</t>
  </si>
  <si>
    <t>Implied equity value</t>
  </si>
  <si>
    <t>Announced</t>
  </si>
  <si>
    <t>Enterprise value ($m)</t>
  </si>
  <si>
    <t>EBITDA ($m)</t>
  </si>
  <si>
    <t>EV / EBITDA</t>
  </si>
  <si>
    <t>Revenue ($m)</t>
  </si>
  <si>
    <t>Announced synergies ($m)</t>
  </si>
  <si>
    <t>Synergies / target revenue</t>
  </si>
  <si>
    <t>In range (1 = yes)</t>
  </si>
  <si>
    <t>Energizer Holdings / Spectrum Brands Global Auto Care (Armor All, STP, A/C Pro)</t>
  </si>
  <si>
    <t>Quaker Chemical / Houghton International</t>
  </si>
  <si>
    <t>Church &amp; Dwight / Water Pik, Inc.</t>
  </si>
  <si>
    <t>Aramco / Valvoline Global Products (lubricants)</t>
  </si>
  <si>
    <t>Church &amp; Dwight / TheraBreath</t>
  </si>
  <si>
    <t>New Mountain Capital / Zep Inc.</t>
  </si>
  <si>
    <t>Spectrum Brands / Armored AutoGroup (Armor All, STP, A/C Pro)</t>
  </si>
  <si>
    <t>Deal EV / EBITDA (computed in Python from Precedent deals)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</si>
</sst>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tabSelected="1" workbookViewId="0"/>
  </sheetViews>
  <sheetFormatPr defaultRowHeight="14.5" x14ac:dyDescent="0.35"/>
  <sheetData>
    <row r="1" spans="1:4" x14ac:dyDescent="0.35">
      <c r="A1" s="1"/>
      <c r="B1" s="1" t="s">
        <v>0</v>
      </c>
      <c r="C1" s="1" t="s">
        <v>1</v>
      </c>
      <c r="D1" s="1" t="s">
        <v>2</v>
      </c>
    </row>
    <row r="2" spans="1:4" x14ac:dyDescent="0.35">
      <c r="A2" s="1" t="s">
        <v>3</v>
      </c>
      <c r="C2">
        <v>216.04</v>
      </c>
    </row>
    <row r="3" spans="1:4" x14ac:dyDescent="0.35">
      <c r="A3" s="1" t="s">
        <v>4</v>
      </c>
      <c r="C3">
        <f>'DCF Original'!B30</f>
        <v>88.150295801349159</v>
      </c>
    </row>
    <row r="4" spans="1:4" x14ac:dyDescent="0.35">
      <c r="A4" s="1" t="s">
        <v>5</v>
      </c>
      <c r="B4">
        <f>'DCF Bear'!B30</f>
        <v>70.365330393443827</v>
      </c>
      <c r="C4">
        <f>'DCF Base'!B30</f>
        <v>125.33517043256788</v>
      </c>
      <c r="D4">
        <f>'DCF Bull'!B30</f>
        <v>214.28070120400736</v>
      </c>
    </row>
    <row r="5" spans="1:4" x14ac:dyDescent="0.35">
      <c r="A5" s="1" t="s">
        <v>6</v>
      </c>
      <c r="B5">
        <f>'DDM Bear'!B17</f>
        <v>72.682968684697528</v>
      </c>
      <c r="C5">
        <f>'DDM Base'!B17</f>
        <v>121.42232490422006</v>
      </c>
      <c r="D5">
        <f>'DDM Bull'!B17</f>
        <v>198.7606813384684</v>
      </c>
    </row>
    <row r="6" spans="1:4" x14ac:dyDescent="0.35">
      <c r="A6" s="1" t="s">
        <v>7</v>
      </c>
      <c r="B6">
        <f>'Comps valuation'!B11</f>
        <v>88.981629333879042</v>
      </c>
      <c r="C6">
        <f>'Comps valuation'!C11</f>
        <v>89.575852260650223</v>
      </c>
      <c r="D6">
        <f>'Comps valuation'!D11</f>
        <v>133.12059901637883</v>
      </c>
    </row>
    <row r="7" spans="1:4" x14ac:dyDescent="0.35">
      <c r="A7" s="1" t="s">
        <v>8</v>
      </c>
      <c r="B7">
        <f>'Precedent valuation'!B9</f>
        <v>80.866822157894475</v>
      </c>
      <c r="C7">
        <f>'Precedent valuation'!C9</f>
        <v>90.360768966690387</v>
      </c>
      <c r="D7">
        <f>'Precedent valuation'!D9</f>
        <v>114.89461881249967</v>
      </c>
    </row>
    <row r="8" spans="1:4" x14ac:dyDescent="0.35">
      <c r="A8" s="1" t="s">
        <v>9</v>
      </c>
      <c r="B8">
        <f>'LBO Bear'!B2</f>
        <v>65.09765625</v>
      </c>
      <c r="C8">
        <f>'LBO Base'!B2</f>
        <v>74.873046875</v>
      </c>
      <c r="D8">
        <f>'LBO Bull'!B2</f>
        <v>106.2841796875</v>
      </c>
    </row>
    <row r="9" spans="1:4" x14ac:dyDescent="0.35">
      <c r="A9" s="1" t="s">
        <v>10</v>
      </c>
      <c r="B9">
        <f>'Synergies Bear'!B21</f>
        <v>151.2500731476251</v>
      </c>
      <c r="C9">
        <f>'Synergies Base'!B21</f>
        <v>164.0596251317092</v>
      </c>
      <c r="D9">
        <f>'Synergies Bull'!B21</f>
        <v>181.38368095583118</v>
      </c>
    </row>
    <row r="10" spans="1:4" x14ac:dyDescent="0.35">
      <c r="A10" s="1" t="s">
        <v>11</v>
      </c>
      <c r="B10">
        <f>'EVA Bear'!B22</f>
        <v>0</v>
      </c>
      <c r="C10">
        <f>'EVA Base'!B22</f>
        <v>0</v>
      </c>
      <c r="D10">
        <f>'EVA Bull'!B22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3"/>
  <sheetViews>
    <sheetView workbookViewId="0"/>
  </sheetViews>
  <sheetFormatPr defaultRowHeight="14.5" x14ac:dyDescent="0.35"/>
  <cols>
    <col min="1" max="1" width="28" customWidth="1"/>
    <col min="2" max="2" width="70" customWidth="1"/>
    <col min="3" max="4" width="12" customWidth="1"/>
    <col min="5" max="5" width="60" customWidth="1"/>
  </cols>
  <sheetData>
    <row r="1" spans="1:5" x14ac:dyDescent="0.35">
      <c r="A1" t="s">
        <v>12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35">
      <c r="A2" t="s">
        <v>17</v>
      </c>
      <c r="B2" t="s">
        <v>18</v>
      </c>
      <c r="C2" t="s">
        <v>19</v>
      </c>
      <c r="E2" t="s">
        <v>20</v>
      </c>
    </row>
    <row r="3" spans="1:5" x14ac:dyDescent="0.35">
      <c r="A3" t="s">
        <v>21</v>
      </c>
      <c r="B3" t="s">
        <v>22</v>
      </c>
      <c r="C3" t="s">
        <v>23</v>
      </c>
      <c r="E3" t="s">
        <v>24</v>
      </c>
    </row>
    <row r="4" spans="1:5" x14ac:dyDescent="0.35">
      <c r="A4" t="s">
        <v>25</v>
      </c>
      <c r="B4" t="s">
        <v>26</v>
      </c>
      <c r="C4" t="s">
        <v>27</v>
      </c>
      <c r="E4" t="s">
        <v>28</v>
      </c>
    </row>
    <row r="5" spans="1:5" x14ac:dyDescent="0.35">
      <c r="A5" t="s">
        <v>29</v>
      </c>
      <c r="B5" t="s">
        <v>30</v>
      </c>
      <c r="C5" t="s">
        <v>31</v>
      </c>
      <c r="E5" t="s">
        <v>32</v>
      </c>
    </row>
    <row r="6" spans="1:5" x14ac:dyDescent="0.35">
      <c r="A6" t="s">
        <v>33</v>
      </c>
      <c r="B6" t="s">
        <v>34</v>
      </c>
      <c r="C6" t="s">
        <v>19</v>
      </c>
      <c r="E6" t="s">
        <v>35</v>
      </c>
    </row>
    <row r="7" spans="1:5" x14ac:dyDescent="0.35">
      <c r="A7" t="s">
        <v>36</v>
      </c>
      <c r="B7" t="s">
        <v>37</v>
      </c>
      <c r="E7" t="s">
        <v>38</v>
      </c>
    </row>
    <row r="8" spans="1:5" x14ac:dyDescent="0.35">
      <c r="A8" t="s">
        <v>39</v>
      </c>
      <c r="B8" t="s">
        <v>40</v>
      </c>
      <c r="D8" t="s">
        <v>41</v>
      </c>
      <c r="E8" t="s">
        <v>42</v>
      </c>
    </row>
    <row r="9" spans="1:5" x14ac:dyDescent="0.35">
      <c r="A9" t="s">
        <v>43</v>
      </c>
      <c r="B9" t="s">
        <v>44</v>
      </c>
      <c r="C9" t="s">
        <v>19</v>
      </c>
      <c r="E9" t="s">
        <v>45</v>
      </c>
    </row>
    <row r="10" spans="1:5" x14ac:dyDescent="0.35">
      <c r="A10" t="s">
        <v>46</v>
      </c>
      <c r="B10" t="s">
        <v>47</v>
      </c>
      <c r="C10" t="s">
        <v>19</v>
      </c>
      <c r="E10" t="s">
        <v>48</v>
      </c>
    </row>
    <row r="11" spans="1:5" x14ac:dyDescent="0.35">
      <c r="A11" t="s">
        <v>49</v>
      </c>
      <c r="B11" t="s">
        <v>50</v>
      </c>
      <c r="C11" t="s">
        <v>19</v>
      </c>
      <c r="E11" t="s">
        <v>51</v>
      </c>
    </row>
    <row r="12" spans="1:5" x14ac:dyDescent="0.35">
      <c r="A12" t="s">
        <v>52</v>
      </c>
      <c r="B12" t="s">
        <v>53</v>
      </c>
      <c r="C12" t="s">
        <v>19</v>
      </c>
      <c r="E12" t="s">
        <v>54</v>
      </c>
    </row>
    <row r="13" spans="1:5" x14ac:dyDescent="0.35">
      <c r="A13" t="s">
        <v>55</v>
      </c>
      <c r="B13" t="s">
        <v>56</v>
      </c>
      <c r="C13" t="s">
        <v>19</v>
      </c>
      <c r="E13" t="s">
        <v>57</v>
      </c>
    </row>
    <row r="14" spans="1:5" x14ac:dyDescent="0.35">
      <c r="A14" t="s">
        <v>58</v>
      </c>
      <c r="B14" t="s">
        <v>59</v>
      </c>
      <c r="C14" t="s">
        <v>19</v>
      </c>
      <c r="E14" t="s">
        <v>35</v>
      </c>
    </row>
    <row r="15" spans="1:5" x14ac:dyDescent="0.35">
      <c r="A15" t="s">
        <v>60</v>
      </c>
      <c r="B15" t="s">
        <v>61</v>
      </c>
      <c r="D15" t="s">
        <v>62</v>
      </c>
      <c r="E15" t="s">
        <v>63</v>
      </c>
    </row>
    <row r="16" spans="1:5" x14ac:dyDescent="0.35">
      <c r="A16" t="s">
        <v>64</v>
      </c>
      <c r="B16" t="s">
        <v>65</v>
      </c>
      <c r="D16" t="s">
        <v>66</v>
      </c>
      <c r="E16" t="s">
        <v>67</v>
      </c>
    </row>
    <row r="17" spans="1:5" x14ac:dyDescent="0.35">
      <c r="A17" t="s">
        <v>68</v>
      </c>
      <c r="B17" t="s">
        <v>69</v>
      </c>
      <c r="D17" t="s">
        <v>70</v>
      </c>
      <c r="E17" t="s">
        <v>71</v>
      </c>
    </row>
    <row r="18" spans="1:5" x14ac:dyDescent="0.35">
      <c r="A18" t="s">
        <v>72</v>
      </c>
      <c r="B18" t="s">
        <v>73</v>
      </c>
      <c r="D18" t="s">
        <v>74</v>
      </c>
      <c r="E18" t="s">
        <v>75</v>
      </c>
    </row>
    <row r="19" spans="1:5" x14ac:dyDescent="0.35">
      <c r="A19" t="s">
        <v>76</v>
      </c>
      <c r="B19" t="s">
        <v>77</v>
      </c>
      <c r="D19" t="s">
        <v>78</v>
      </c>
      <c r="E19" t="s">
        <v>79</v>
      </c>
    </row>
    <row r="20" spans="1:5" x14ac:dyDescent="0.35">
      <c r="A20" t="s">
        <v>80</v>
      </c>
      <c r="B20" t="s">
        <v>81</v>
      </c>
      <c r="D20" t="s">
        <v>82</v>
      </c>
      <c r="E20" t="s">
        <v>83</v>
      </c>
    </row>
    <row r="21" spans="1:5" x14ac:dyDescent="0.35">
      <c r="A21" t="s">
        <v>84</v>
      </c>
      <c r="B21" t="s">
        <v>85</v>
      </c>
      <c r="D21" t="s">
        <v>86</v>
      </c>
      <c r="E21" t="s">
        <v>87</v>
      </c>
    </row>
    <row r="22" spans="1:5" x14ac:dyDescent="0.35">
      <c r="A22" t="s">
        <v>88</v>
      </c>
      <c r="B22" t="s">
        <v>89</v>
      </c>
      <c r="C22" t="s">
        <v>19</v>
      </c>
      <c r="E22" t="s">
        <v>90</v>
      </c>
    </row>
    <row r="23" spans="1:5" x14ac:dyDescent="0.35">
      <c r="A23" t="s">
        <v>91</v>
      </c>
      <c r="B23" t="s">
        <v>92</v>
      </c>
      <c r="C23" t="s">
        <v>19</v>
      </c>
      <c r="E23" t="s">
        <v>93</v>
      </c>
    </row>
    <row r="25" spans="1:5" x14ac:dyDescent="0.35">
      <c r="A25" t="s">
        <v>94</v>
      </c>
    </row>
    <row r="26" spans="1:5" x14ac:dyDescent="0.35">
      <c r="A26" t="s">
        <v>95</v>
      </c>
    </row>
    <row r="27" spans="1:5" x14ac:dyDescent="0.35">
      <c r="A27" t="s">
        <v>96</v>
      </c>
    </row>
    <row r="28" spans="1:5" x14ac:dyDescent="0.35">
      <c r="A28" t="s">
        <v>97</v>
      </c>
    </row>
    <row r="29" spans="1:5" x14ac:dyDescent="0.35">
      <c r="A29" t="s">
        <v>98</v>
      </c>
    </row>
    <row r="30" spans="1:5" x14ac:dyDescent="0.35">
      <c r="A30" t="s">
        <v>99</v>
      </c>
    </row>
    <row r="31" spans="1:5" x14ac:dyDescent="0.35">
      <c r="A31" t="s">
        <v>100</v>
      </c>
    </row>
    <row r="32" spans="1:5" x14ac:dyDescent="0.35">
      <c r="A32" t="s">
        <v>101</v>
      </c>
    </row>
    <row r="33" spans="1:1" x14ac:dyDescent="0.35">
      <c r="A33" t="s">
        <v>102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/>
  </sheetViews>
  <sheetFormatPr defaultRowHeight="14.5" x14ac:dyDescent="0.35"/>
  <sheetData>
    <row r="1" spans="1:5" x14ac:dyDescent="0.35">
      <c r="A1" s="1"/>
      <c r="B1" s="1" t="s">
        <v>103</v>
      </c>
      <c r="C1" s="1" t="s">
        <v>104</v>
      </c>
      <c r="D1" s="1" t="s">
        <v>105</v>
      </c>
      <c r="E1" s="1" t="s">
        <v>106</v>
      </c>
    </row>
    <row r="2" spans="1:5" x14ac:dyDescent="0.35">
      <c r="A2" s="1" t="s">
        <v>107</v>
      </c>
      <c r="B2">
        <v>619.98500000000001</v>
      </c>
      <c r="C2">
        <v>619.98500000000001</v>
      </c>
      <c r="D2">
        <v>619.98500000000001</v>
      </c>
      <c r="E2">
        <v>619.98500000000001</v>
      </c>
    </row>
    <row r="3" spans="1:5" x14ac:dyDescent="0.35">
      <c r="A3" s="1" t="s">
        <v>108</v>
      </c>
      <c r="B3">
        <v>106.0596666666667</v>
      </c>
      <c r="C3">
        <v>106.0596666666667</v>
      </c>
      <c r="D3">
        <v>106.0596666666667</v>
      </c>
      <c r="E3">
        <v>106.0596666666667</v>
      </c>
    </row>
    <row r="4" spans="1:5" x14ac:dyDescent="0.35">
      <c r="A4" s="1" t="s">
        <v>109</v>
      </c>
      <c r="B4">
        <v>313.43700000000001</v>
      </c>
      <c r="C4">
        <v>313.43700000000001</v>
      </c>
      <c r="D4">
        <v>313.43700000000001</v>
      </c>
      <c r="E4">
        <v>313.43700000000001</v>
      </c>
    </row>
    <row r="5" spans="1:5" x14ac:dyDescent="0.35">
      <c r="A5" s="1" t="s">
        <v>110</v>
      </c>
      <c r="B5">
        <v>86.995000000000005</v>
      </c>
      <c r="C5">
        <v>86.995000000000005</v>
      </c>
      <c r="D5">
        <v>86.995000000000005</v>
      </c>
      <c r="E5">
        <v>86.995000000000005</v>
      </c>
    </row>
    <row r="6" spans="1:5" x14ac:dyDescent="0.35">
      <c r="A6" s="1" t="s">
        <v>111</v>
      </c>
      <c r="B6">
        <v>58.13</v>
      </c>
      <c r="C6">
        <v>58.13</v>
      </c>
      <c r="D6">
        <v>58.13</v>
      </c>
      <c r="E6">
        <v>58.13</v>
      </c>
    </row>
    <row r="7" spans="1:5" x14ac:dyDescent="0.35">
      <c r="A7" s="1" t="s">
        <v>112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113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114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115</v>
      </c>
      <c r="B10">
        <v>13.633262999999999</v>
      </c>
      <c r="C10">
        <v>13.633262999999999</v>
      </c>
      <c r="D10">
        <v>13.633262999999999</v>
      </c>
      <c r="E10">
        <v>13.633262999999999</v>
      </c>
    </row>
    <row r="11" spans="1:5" x14ac:dyDescent="0.35">
      <c r="A11" s="1" t="s">
        <v>116</v>
      </c>
      <c r="B11">
        <v>0.05</v>
      </c>
      <c r="C11">
        <v>1.6153616619756891E-2</v>
      </c>
      <c r="D11">
        <v>3.6315394727291839E-2</v>
      </c>
      <c r="E11">
        <v>5.6477172834826561E-2</v>
      </c>
    </row>
    <row r="12" spans="1:5" x14ac:dyDescent="0.35">
      <c r="A12" s="1" t="s">
        <v>117</v>
      </c>
      <c r="B12">
        <v>0.05</v>
      </c>
      <c r="C12">
        <v>3.2465449091496852E-2</v>
      </c>
      <c r="D12">
        <v>5.8096824069499453E-2</v>
      </c>
      <c r="E12">
        <v>7.9772924907641762E-2</v>
      </c>
    </row>
    <row r="13" spans="1:5" x14ac:dyDescent="0.35">
      <c r="A13" s="1" t="s">
        <v>118</v>
      </c>
      <c r="B13">
        <v>2.5000000000000001E-2</v>
      </c>
      <c r="C13">
        <v>0.02</v>
      </c>
      <c r="D13">
        <v>2.5000000000000001E-2</v>
      </c>
      <c r="E13">
        <v>0.03</v>
      </c>
    </row>
    <row r="14" spans="1:5" x14ac:dyDescent="0.35">
      <c r="A14" s="1" t="s">
        <v>119</v>
      </c>
      <c r="B14">
        <v>0.17106811723939561</v>
      </c>
      <c r="C14">
        <v>0.16708994708994709</v>
      </c>
      <c r="D14">
        <v>0.1692866407263294</v>
      </c>
      <c r="E14">
        <v>0.17139949109414759</v>
      </c>
    </row>
    <row r="15" spans="1:5" x14ac:dyDescent="0.35">
      <c r="A15" s="1" t="s">
        <v>120</v>
      </c>
      <c r="B15">
        <v>0.17106811723939561</v>
      </c>
      <c r="C15">
        <v>0.16708994708994709</v>
      </c>
      <c r="D15">
        <v>0.18</v>
      </c>
      <c r="E15">
        <v>0.2</v>
      </c>
    </row>
    <row r="16" spans="1:5" x14ac:dyDescent="0.35">
      <c r="A16" s="1" t="s">
        <v>121</v>
      </c>
      <c r="B16">
        <v>5</v>
      </c>
      <c r="C16">
        <v>5</v>
      </c>
      <c r="D16">
        <v>5</v>
      </c>
      <c r="E16">
        <v>5</v>
      </c>
    </row>
    <row r="17" spans="1:5" x14ac:dyDescent="0.35">
      <c r="A17" s="1" t="s">
        <v>122</v>
      </c>
      <c r="B17">
        <v>0.22200027552004409</v>
      </c>
      <c r="C17">
        <v>0.23499999999999999</v>
      </c>
      <c r="D17">
        <v>0.23</v>
      </c>
      <c r="E17">
        <v>0.22500000000000001</v>
      </c>
    </row>
    <row r="18" spans="1:5" x14ac:dyDescent="0.35">
      <c r="A18" s="1" t="s">
        <v>123</v>
      </c>
      <c r="B18">
        <v>0.25</v>
      </c>
      <c r="C18">
        <v>0.25</v>
      </c>
      <c r="D18">
        <v>0.25</v>
      </c>
      <c r="E18">
        <v>0.25</v>
      </c>
    </row>
    <row r="19" spans="1:5" x14ac:dyDescent="0.35">
      <c r="A19" s="1" t="s">
        <v>124</v>
      </c>
      <c r="B19">
        <v>2</v>
      </c>
      <c r="C19">
        <v>2</v>
      </c>
      <c r="D19">
        <v>2</v>
      </c>
      <c r="E19">
        <v>2</v>
      </c>
    </row>
    <row r="20" spans="1:5" x14ac:dyDescent="0.35">
      <c r="A20" s="1" t="s">
        <v>125</v>
      </c>
      <c r="B20">
        <v>2</v>
      </c>
      <c r="C20">
        <v>2</v>
      </c>
      <c r="D20">
        <v>2</v>
      </c>
      <c r="E20">
        <v>2</v>
      </c>
    </row>
    <row r="21" spans="1:5" x14ac:dyDescent="0.35">
      <c r="A21" s="1" t="s">
        <v>126</v>
      </c>
      <c r="B21">
        <v>0.09</v>
      </c>
      <c r="C21">
        <v>8.6579251013891551E-2</v>
      </c>
      <c r="D21">
        <v>7.4013719318297547E-2</v>
      </c>
      <c r="E21">
        <v>6.5810140994131863E-2</v>
      </c>
    </row>
    <row r="22" spans="1:5" x14ac:dyDescent="0.35">
      <c r="A22" s="1" t="s">
        <v>127</v>
      </c>
      <c r="B22">
        <v>0.08</v>
      </c>
      <c r="C22">
        <v>9.4478057603863227E-2</v>
      </c>
      <c r="D22">
        <v>7.4013719318297547E-2</v>
      </c>
      <c r="E22">
        <v>6.5810140994131863E-2</v>
      </c>
    </row>
    <row r="23" spans="1:5" x14ac:dyDescent="0.35">
      <c r="A23" s="1" t="s">
        <v>128</v>
      </c>
      <c r="B23">
        <v>0</v>
      </c>
      <c r="C23">
        <v>0</v>
      </c>
      <c r="D23">
        <v>1</v>
      </c>
      <c r="E23">
        <v>1</v>
      </c>
    </row>
    <row r="24" spans="1:5" x14ac:dyDescent="0.35">
      <c r="A24" s="1" t="s">
        <v>129</v>
      </c>
      <c r="B24">
        <v>0.15</v>
      </c>
      <c r="C24">
        <v>0.15</v>
      </c>
      <c r="D24">
        <v>0.15</v>
      </c>
      <c r="E24">
        <v>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inputs'!B11</f>
        <v>0.05</v>
      </c>
      <c r="D3">
        <f>'Scenario inputs'!B12</f>
        <v>0.05</v>
      </c>
      <c r="E3">
        <f>'Scenario inputs'!B12</f>
        <v>0.05</v>
      </c>
      <c r="F3">
        <f>'Scenario inputs'!B12</f>
        <v>0.05</v>
      </c>
      <c r="G3">
        <f>'Scenario inputs'!B12</f>
        <v>0.05</v>
      </c>
      <c r="H3">
        <f>G3-((G3-M3)/5)*1</f>
        <v>4.5000000000000005E-2</v>
      </c>
      <c r="I3">
        <f>G3-((G3-M3)/5)*2</f>
        <v>0.04</v>
      </c>
      <c r="J3">
        <f>G3-((G3-M3)/5)*3</f>
        <v>3.5000000000000003E-2</v>
      </c>
      <c r="K3">
        <f>G3-((G3-M3)/5)*4</f>
        <v>3.0000000000000002E-2</v>
      </c>
      <c r="L3">
        <f>G3-((G3-M3)/5)*5</f>
        <v>2.5000000000000001E-2</v>
      </c>
      <c r="M3">
        <f>'Scenario inputs'!B13</f>
        <v>2.5000000000000001E-2</v>
      </c>
    </row>
    <row r="4" spans="1:13" x14ac:dyDescent="0.35">
      <c r="A4" s="1" t="s">
        <v>144</v>
      </c>
      <c r="B4">
        <f>'Scenario inputs'!B2</f>
        <v>619.98500000000001</v>
      </c>
      <c r="C4">
        <f t="shared" ref="C4:M4" si="0">B4*(1+C3)</f>
        <v>650.98425000000009</v>
      </c>
      <c r="D4">
        <f t="shared" si="0"/>
        <v>683.53346250000016</v>
      </c>
      <c r="E4">
        <f t="shared" si="0"/>
        <v>717.71013562500025</v>
      </c>
      <c r="F4">
        <f t="shared" si="0"/>
        <v>753.59564240625025</v>
      </c>
      <c r="G4">
        <f t="shared" si="0"/>
        <v>791.2754245265628</v>
      </c>
      <c r="H4">
        <f t="shared" si="0"/>
        <v>826.88281863025804</v>
      </c>
      <c r="I4">
        <f t="shared" si="0"/>
        <v>859.95813137546838</v>
      </c>
      <c r="J4">
        <f t="shared" si="0"/>
        <v>890.05666597360971</v>
      </c>
      <c r="K4">
        <f t="shared" si="0"/>
        <v>916.75836595281805</v>
      </c>
      <c r="L4">
        <f t="shared" si="0"/>
        <v>939.67732510163842</v>
      </c>
      <c r="M4">
        <f t="shared" si="0"/>
        <v>963.16925822917926</v>
      </c>
    </row>
    <row r="5" spans="1:13" x14ac:dyDescent="0.35">
      <c r="A5" s="1" t="s">
        <v>145</v>
      </c>
      <c r="B5">
        <f>B6/B4</f>
        <v>0.17106811723939563</v>
      </c>
      <c r="C5">
        <f>'Scenario inputs'!B14</f>
        <v>0.17106811723939561</v>
      </c>
      <c r="D5">
        <f>IF(D2&gt;'Scenario inputs'!B16,'Scenario inputs'!B15,'Scenario inputs'!B15-(('Scenario inputs'!B15-C5)/'Scenario inputs'!B16)*('Scenario inputs'!B16-D2))</f>
        <v>0.17106811723939561</v>
      </c>
      <c r="E5">
        <f>IF(E2&gt;'Scenario inputs'!B16,'Scenario inputs'!B15,'Scenario inputs'!B15-(('Scenario inputs'!B15-C5)/'Scenario inputs'!B16)*('Scenario inputs'!B16-E2))</f>
        <v>0.17106811723939561</v>
      </c>
      <c r="F5">
        <f>IF(F2&gt;'Scenario inputs'!B16,'Scenario inputs'!B15,'Scenario inputs'!B15-(('Scenario inputs'!B15-C5)/'Scenario inputs'!B16)*('Scenario inputs'!B16-F2))</f>
        <v>0.17106811723939561</v>
      </c>
      <c r="G5">
        <f>IF(G2&gt;'Scenario inputs'!B16,'Scenario inputs'!B15,'Scenario inputs'!B15-(('Scenario inputs'!B15-C5)/'Scenario inputs'!B16)*('Scenario inputs'!B16-G2))</f>
        <v>0.17106811723939561</v>
      </c>
      <c r="H5">
        <f>IF(H2&gt;'Scenario inputs'!B16,'Scenario inputs'!B15,'Scenario inputs'!B15-(('Scenario inputs'!B15-C5)/'Scenario inputs'!B16)*('Scenario inputs'!B16-H2))</f>
        <v>0.17106811723939561</v>
      </c>
      <c r="I5">
        <f>IF(I2&gt;'Scenario inputs'!B16,'Scenario inputs'!B15,'Scenario inputs'!B15-(('Scenario inputs'!B15-C5)/'Scenario inputs'!B16)*('Scenario inputs'!B16-I2))</f>
        <v>0.17106811723939561</v>
      </c>
      <c r="J5">
        <f>IF(J2&gt;'Scenario inputs'!B16,'Scenario inputs'!B15,'Scenario inputs'!B15-(('Scenario inputs'!B15-C5)/'Scenario inputs'!B16)*('Scenario inputs'!B16-J2))</f>
        <v>0.17106811723939561</v>
      </c>
      <c r="K5">
        <f>IF(K2&gt;'Scenario inputs'!B16,'Scenario inputs'!B15,'Scenario inputs'!B15-(('Scenario inputs'!B15-C5)/'Scenario inputs'!B16)*('Scenario inputs'!B16-K2))</f>
        <v>0.17106811723939561</v>
      </c>
      <c r="L5">
        <f>IF(L2&gt;'Scenario inputs'!B16,'Scenario inputs'!B15,'Scenario inputs'!B15-(('Scenario inputs'!B15-C5)/'Scenario inputs'!B16)*('Scenario inputs'!B16-L2))</f>
        <v>0.17106811723939561</v>
      </c>
      <c r="M5">
        <f>(L5)</f>
        <v>0.17106811723939561</v>
      </c>
    </row>
    <row r="6" spans="1:13" x14ac:dyDescent="0.35">
      <c r="A6" s="1" t="s">
        <v>146</v>
      </c>
      <c r="B6">
        <f>'Scenario inputs'!B3</f>
        <v>106.0596666666667</v>
      </c>
      <c r="C6">
        <f t="shared" ref="C6:M6" si="1">C5*C4</f>
        <v>111.36265000000003</v>
      </c>
      <c r="D6">
        <f t="shared" si="1"/>
        <v>116.93078250000005</v>
      </c>
      <c r="E6">
        <f t="shared" si="1"/>
        <v>122.77732162500007</v>
      </c>
      <c r="F6">
        <f t="shared" si="1"/>
        <v>128.91618770625007</v>
      </c>
      <c r="G6">
        <f t="shared" si="1"/>
        <v>135.36199709156259</v>
      </c>
      <c r="H6">
        <f t="shared" si="1"/>
        <v>141.45328696068287</v>
      </c>
      <c r="I6">
        <f t="shared" si="1"/>
        <v>147.1114184391102</v>
      </c>
      <c r="J6">
        <f t="shared" si="1"/>
        <v>152.26031808447905</v>
      </c>
      <c r="K6">
        <f t="shared" si="1"/>
        <v>156.82812762701343</v>
      </c>
      <c r="L6">
        <f t="shared" si="1"/>
        <v>160.74883081768874</v>
      </c>
      <c r="M6">
        <f t="shared" si="1"/>
        <v>164.76755158813094</v>
      </c>
    </row>
    <row r="7" spans="1:13" x14ac:dyDescent="0.35">
      <c r="A7" s="1" t="s">
        <v>147</v>
      </c>
      <c r="B7">
        <f>'Scenario inputs'!B17</f>
        <v>0.22200027552004409</v>
      </c>
      <c r="C7">
        <f>(B7)</f>
        <v>0.22200027552004409</v>
      </c>
      <c r="D7">
        <f>(C7)</f>
        <v>0.22200027552004409</v>
      </c>
      <c r="E7">
        <f>(D7)</f>
        <v>0.22200027552004409</v>
      </c>
      <c r="F7">
        <f>(E7)</f>
        <v>0.22200027552004409</v>
      </c>
      <c r="G7">
        <f>(F7)</f>
        <v>0.22200027552004409</v>
      </c>
      <c r="H7">
        <f>G7+(M7-G7)/5</f>
        <v>0.22760022041603528</v>
      </c>
      <c r="I7">
        <f>H7+(M7-G7)/5</f>
        <v>0.23320016531202648</v>
      </c>
      <c r="J7">
        <f>I7+(M7-G7)/5</f>
        <v>0.23880011020801767</v>
      </c>
      <c r="K7">
        <f>J7+(M7-G7)/5</f>
        <v>0.24440005510400886</v>
      </c>
      <c r="L7">
        <f>K7+(M7-G7)/5</f>
        <v>0.25000000000000006</v>
      </c>
      <c r="M7">
        <f>'Scenario inputs'!B18</f>
        <v>0.25</v>
      </c>
    </row>
    <row r="8" spans="1:13" x14ac:dyDescent="0.35">
      <c r="A8" s="1" t="s">
        <v>148</v>
      </c>
      <c r="B8">
        <f t="shared" ref="B8:L8" si="2">IF(B6&gt;0,B6*(1-B7),B6)</f>
        <v>82.51439144510266</v>
      </c>
      <c r="C8">
        <f t="shared" si="2"/>
        <v>86.640111017357782</v>
      </c>
      <c r="D8">
        <f t="shared" si="2"/>
        <v>90.972116568225687</v>
      </c>
      <c r="E8">
        <f t="shared" si="2"/>
        <v>95.520722396636984</v>
      </c>
      <c r="F8">
        <f t="shared" si="2"/>
        <v>100.29675851646884</v>
      </c>
      <c r="G8">
        <f t="shared" si="2"/>
        <v>105.31159644229228</v>
      </c>
      <c r="H8">
        <f t="shared" si="2"/>
        <v>109.25848766985877</v>
      </c>
      <c r="I8">
        <f t="shared" si="2"/>
        <v>112.805011339823</v>
      </c>
      <c r="J8">
        <f t="shared" si="2"/>
        <v>115.90053734559763</v>
      </c>
      <c r="K8">
        <f t="shared" si="2"/>
        <v>118.49932459311282</v>
      </c>
      <c r="L8">
        <f t="shared" si="2"/>
        <v>120.56162311326656</v>
      </c>
      <c r="M8">
        <f>M6*(1-M7)</f>
        <v>123.57566369109821</v>
      </c>
    </row>
    <row r="9" spans="1:13" x14ac:dyDescent="0.35">
      <c r="A9" s="1" t="s">
        <v>149</v>
      </c>
      <c r="C9">
        <f>'Scenario inputs'!B19</f>
        <v>2</v>
      </c>
      <c r="D9">
        <f>'Scenario inputs'!B19</f>
        <v>2</v>
      </c>
      <c r="E9">
        <f>'Scenario inputs'!B19</f>
        <v>2</v>
      </c>
      <c r="F9">
        <f>'Scenario inputs'!B19</f>
        <v>2</v>
      </c>
      <c r="G9">
        <f>'Scenario inputs'!B19</f>
        <v>2</v>
      </c>
      <c r="H9">
        <f>'Scenario inputs'!B20</f>
        <v>2</v>
      </c>
      <c r="I9">
        <f>'Scenario inputs'!B20</f>
        <v>2</v>
      </c>
      <c r="J9">
        <f>'Scenario inputs'!B20</f>
        <v>2</v>
      </c>
      <c r="K9">
        <f>'Scenario inputs'!B20</f>
        <v>2</v>
      </c>
      <c r="L9">
        <f>'Scenario inputs'!B20</f>
        <v>2</v>
      </c>
    </row>
    <row r="10" spans="1:13" x14ac:dyDescent="0.35">
      <c r="A10" s="1" t="s">
        <v>150</v>
      </c>
      <c r="C10">
        <f t="shared" ref="C10:L10" si="3">(D4-C4)/C9</f>
        <v>16.274606250000033</v>
      </c>
      <c r="D10">
        <f t="shared" si="3"/>
        <v>17.088336562500047</v>
      </c>
      <c r="E10">
        <f t="shared" si="3"/>
        <v>17.942753390625001</v>
      </c>
      <c r="F10">
        <f t="shared" si="3"/>
        <v>18.839891060156276</v>
      </c>
      <c r="G10">
        <f t="shared" si="3"/>
        <v>17.803697051847621</v>
      </c>
      <c r="H10">
        <f t="shared" si="3"/>
        <v>16.53765637260517</v>
      </c>
      <c r="I10">
        <f t="shared" si="3"/>
        <v>15.049267299070664</v>
      </c>
      <c r="J10">
        <f t="shared" si="3"/>
        <v>13.350849989604171</v>
      </c>
      <c r="K10">
        <f t="shared" si="3"/>
        <v>11.459479574410182</v>
      </c>
      <c r="L10">
        <f t="shared" si="3"/>
        <v>11.745966563770423</v>
      </c>
      <c r="M10">
        <f>IF(M3&gt;0,(M3/B17)*M8,0)</f>
        <v>38.617394903468195</v>
      </c>
    </row>
    <row r="11" spans="1:13" x14ac:dyDescent="0.35">
      <c r="A11" s="1" t="s">
        <v>151</v>
      </c>
      <c r="C11">
        <f t="shared" ref="C11:M11" si="4">C8-C10</f>
        <v>70.365504767357749</v>
      </c>
      <c r="D11">
        <f t="shared" si="4"/>
        <v>73.88378000572564</v>
      </c>
      <c r="E11">
        <f t="shared" si="4"/>
        <v>77.577969006011983</v>
      </c>
      <c r="F11">
        <f t="shared" si="4"/>
        <v>81.456867456312565</v>
      </c>
      <c r="G11">
        <f t="shared" si="4"/>
        <v>87.507899390444663</v>
      </c>
      <c r="H11">
        <f t="shared" si="4"/>
        <v>92.720831297253596</v>
      </c>
      <c r="I11">
        <f t="shared" si="4"/>
        <v>97.755744040752333</v>
      </c>
      <c r="J11">
        <f t="shared" si="4"/>
        <v>102.54968735599346</v>
      </c>
      <c r="K11">
        <f t="shared" si="4"/>
        <v>107.03984501870264</v>
      </c>
      <c r="L11">
        <f t="shared" si="4"/>
        <v>108.81565654949614</v>
      </c>
      <c r="M11">
        <f t="shared" si="4"/>
        <v>84.958268787630018</v>
      </c>
    </row>
    <row r="12" spans="1:13" x14ac:dyDescent="0.35">
      <c r="A12" s="1" t="s">
        <v>152</v>
      </c>
      <c r="C12">
        <f>'Scenario inputs'!B21</f>
        <v>0.09</v>
      </c>
      <c r="D12">
        <f>'Scenario inputs'!B21</f>
        <v>0.09</v>
      </c>
      <c r="E12">
        <f>'Scenario inputs'!B21</f>
        <v>0.09</v>
      </c>
      <c r="F12">
        <f>'Scenario inputs'!B21</f>
        <v>0.09</v>
      </c>
      <c r="G12">
        <f>'Scenario inputs'!B21</f>
        <v>0.09</v>
      </c>
      <c r="H12">
        <f>G12-(G12-M12)/5</f>
        <v>8.7999999999999995E-2</v>
      </c>
      <c r="I12">
        <f>H12-(G12-M12)/5</f>
        <v>8.5999999999999993E-2</v>
      </c>
      <c r="J12">
        <f>I12-(G12-M12)/5</f>
        <v>8.3999999999999991E-2</v>
      </c>
      <c r="K12">
        <f>J12-(G12-M12)/5</f>
        <v>8.199999999999999E-2</v>
      </c>
      <c r="L12">
        <f>K12-(G12-M12)/5</f>
        <v>7.9999999999999988E-2</v>
      </c>
      <c r="M12">
        <f>'Scenario inputs'!B22</f>
        <v>0.08</v>
      </c>
    </row>
    <row r="13" spans="1:13" x14ac:dyDescent="0.35">
      <c r="A13" s="1" t="s">
        <v>153</v>
      </c>
      <c r="C13">
        <f>1/(1+C12)</f>
        <v>0.9174311926605504</v>
      </c>
      <c r="D13">
        <f t="shared" ref="D13:L13" si="5">C13*(1/(1+D12))</f>
        <v>0.84167999326655996</v>
      </c>
      <c r="E13">
        <f t="shared" si="5"/>
        <v>0.77218348006106408</v>
      </c>
      <c r="F13">
        <f t="shared" si="5"/>
        <v>0.7084252110651964</v>
      </c>
      <c r="G13">
        <f t="shared" si="5"/>
        <v>0.64993138629834524</v>
      </c>
      <c r="H13">
        <f t="shared" si="5"/>
        <v>0.59736340652421438</v>
      </c>
      <c r="I13">
        <f t="shared" si="5"/>
        <v>0.55005838538141283</v>
      </c>
      <c r="J13">
        <f t="shared" si="5"/>
        <v>0.50743393485370181</v>
      </c>
      <c r="K13">
        <f t="shared" si="5"/>
        <v>0.46897775864482605</v>
      </c>
      <c r="L13">
        <f t="shared" si="5"/>
        <v>0.43423866541187595</v>
      </c>
    </row>
    <row r="14" spans="1:13" x14ac:dyDescent="0.35">
      <c r="A14" s="1" t="s">
        <v>154</v>
      </c>
      <c r="C14">
        <f t="shared" ref="C14:L14" si="6">C11*C13</f>
        <v>64.555508960878669</v>
      </c>
      <c r="D14">
        <f t="shared" si="6"/>
        <v>62.186499457727152</v>
      </c>
      <c r="E14">
        <f t="shared" si="6"/>
        <v>59.904426083131703</v>
      </c>
      <c r="F14">
        <f t="shared" si="6"/>
        <v>57.706098520447959</v>
      </c>
      <c r="G14">
        <f t="shared" si="6"/>
        <v>56.874130362887819</v>
      </c>
      <c r="H14">
        <f t="shared" si="6"/>
        <v>55.388031639484403</v>
      </c>
      <c r="I14">
        <f t="shared" si="6"/>
        <v>53.771366728814897</v>
      </c>
      <c r="J14">
        <f t="shared" si="6"/>
        <v>52.037191373068673</v>
      </c>
      <c r="K14">
        <f t="shared" si="6"/>
        <v>50.199306602560711</v>
      </c>
      <c r="L14">
        <f t="shared" si="6"/>
        <v>47.251965475970259</v>
      </c>
    </row>
    <row r="15" spans="1:13" x14ac:dyDescent="0.35">
      <c r="A15" s="1" t="s">
        <v>155</v>
      </c>
      <c r="B15">
        <f>'Scenario inputs'!B4</f>
        <v>313.43700000000001</v>
      </c>
      <c r="C15">
        <f t="shared" ref="C15:L15" si="7">B15+C10</f>
        <v>329.71160625000005</v>
      </c>
      <c r="D15">
        <f t="shared" si="7"/>
        <v>346.79994281250009</v>
      </c>
      <c r="E15">
        <f t="shared" si="7"/>
        <v>364.74269620312509</v>
      </c>
      <c r="F15">
        <f t="shared" si="7"/>
        <v>383.58258726328137</v>
      </c>
      <c r="G15">
        <f t="shared" si="7"/>
        <v>401.38628431512899</v>
      </c>
      <c r="H15">
        <f t="shared" si="7"/>
        <v>417.92394068773416</v>
      </c>
      <c r="I15">
        <f t="shared" si="7"/>
        <v>432.97320798680482</v>
      </c>
      <c r="J15">
        <f t="shared" si="7"/>
        <v>446.32405797640899</v>
      </c>
      <c r="K15">
        <f t="shared" si="7"/>
        <v>457.78353755081918</v>
      </c>
      <c r="L15">
        <f t="shared" si="7"/>
        <v>469.5295041145896</v>
      </c>
    </row>
    <row r="16" spans="1:13" x14ac:dyDescent="0.35">
      <c r="A16" s="1" t="s">
        <v>156</v>
      </c>
      <c r="B16">
        <f>B8/B15</f>
        <v>0.26325670372388282</v>
      </c>
      <c r="C16">
        <f t="shared" ref="C16:L16" si="8">C8/B15</f>
        <v>0.27641953891007692</v>
      </c>
      <c r="D16">
        <f t="shared" si="8"/>
        <v>0.27591420757947815</v>
      </c>
      <c r="E16">
        <f t="shared" si="8"/>
        <v>0.27543465440615988</v>
      </c>
      <c r="F16">
        <f t="shared" si="8"/>
        <v>0.2749794843338374</v>
      </c>
      <c r="G16">
        <f t="shared" si="8"/>
        <v>0.27454738546306606</v>
      </c>
      <c r="H16">
        <f t="shared" si="8"/>
        <v>0.27220284284572055</v>
      </c>
      <c r="I16">
        <f t="shared" si="8"/>
        <v>0.26991756240188458</v>
      </c>
      <c r="J16">
        <f t="shared" si="8"/>
        <v>0.26768524058220661</v>
      </c>
      <c r="K16">
        <f t="shared" si="8"/>
        <v>0.26550064347948782</v>
      </c>
      <c r="L16">
        <f t="shared" si="8"/>
        <v>0.26335945534057753</v>
      </c>
    </row>
    <row r="17" spans="1:2" x14ac:dyDescent="0.35">
      <c r="A17" s="1" t="s">
        <v>157</v>
      </c>
      <c r="B17">
        <f>IF('Scenario inputs'!B23=1,'Scenario inputs'!B24,L12)</f>
        <v>7.9999999999999988E-2</v>
      </c>
    </row>
    <row r="18" spans="1:2" x14ac:dyDescent="0.35">
      <c r="A18" s="1" t="s">
        <v>158</v>
      </c>
      <c r="B18">
        <f>M11/(M12-M3)</f>
        <v>1544.6957961387277</v>
      </c>
    </row>
    <row r="19" spans="1:2" x14ac:dyDescent="0.35">
      <c r="A19" s="1" t="s">
        <v>159</v>
      </c>
      <c r="B19">
        <f>B18*L13</f>
        <v>670.76664098261631</v>
      </c>
    </row>
    <row r="20" spans="1:2" x14ac:dyDescent="0.35">
      <c r="A20" s="1" t="s">
        <v>160</v>
      </c>
      <c r="B20">
        <f>SUM(C14:L14)</f>
        <v>559.8745252049722</v>
      </c>
    </row>
    <row r="21" spans="1:2" x14ac:dyDescent="0.35">
      <c r="A21" s="1" t="s">
        <v>161</v>
      </c>
      <c r="B21">
        <f>B19+B20</f>
        <v>1230.6411661875886</v>
      </c>
    </row>
    <row r="22" spans="1:2" x14ac:dyDescent="0.35">
      <c r="A22" s="1" t="s">
        <v>162</v>
      </c>
      <c r="B22">
        <f>'Scenario inputs'!B5</f>
        <v>86.995000000000005</v>
      </c>
    </row>
    <row r="23" spans="1:2" x14ac:dyDescent="0.35">
      <c r="A23" s="1" t="s">
        <v>163</v>
      </c>
      <c r="B23">
        <f>'Scenario inputs'!B6</f>
        <v>58.13</v>
      </c>
    </row>
    <row r="24" spans="1:2" x14ac:dyDescent="0.35">
      <c r="A24" s="1" t="s">
        <v>164</v>
      </c>
      <c r="B24">
        <f>'Scenario inputs'!B7</f>
        <v>0</v>
      </c>
    </row>
    <row r="25" spans="1:2" x14ac:dyDescent="0.35">
      <c r="A25" s="1" t="s">
        <v>165</v>
      </c>
      <c r="B25">
        <f>'Scenario inputs'!B8</f>
        <v>0</v>
      </c>
    </row>
    <row r="26" spans="1:2" x14ac:dyDescent="0.35">
      <c r="A26" s="1" t="s">
        <v>166</v>
      </c>
      <c r="B26">
        <f>B21-B22-B24+B23+B25</f>
        <v>1201.7761661875888</v>
      </c>
    </row>
    <row r="27" spans="1:2" x14ac:dyDescent="0.35">
      <c r="A27" s="1" t="s">
        <v>167</v>
      </c>
      <c r="B27">
        <f>'Scenario inputs'!B9</f>
        <v>0</v>
      </c>
    </row>
    <row r="28" spans="1:2" x14ac:dyDescent="0.35">
      <c r="A28" s="1" t="s">
        <v>168</v>
      </c>
      <c r="B28">
        <f>B26-B27</f>
        <v>1201.7761661875888</v>
      </c>
    </row>
    <row r="29" spans="1:2" x14ac:dyDescent="0.35">
      <c r="A29" s="1" t="s">
        <v>169</v>
      </c>
      <c r="B29">
        <f>'Scenario inputs'!B10</f>
        <v>13.633262999999999</v>
      </c>
    </row>
    <row r="30" spans="1:2" x14ac:dyDescent="0.35">
      <c r="A30" s="1" t="s">
        <v>170</v>
      </c>
      <c r="B30">
        <f>B28/B29</f>
        <v>88.150295801349159</v>
      </c>
    </row>
    <row r="31" spans="1:2" x14ac:dyDescent="0.35">
      <c r="A31" s="1" t="s">
        <v>171</v>
      </c>
      <c r="B31">
        <f>B19/B21</f>
        <v>0.54505461007824785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inputs'!C11</f>
        <v>1.6153616619756891E-2</v>
      </c>
      <c r="D3">
        <f>'Scenario inputs'!C12</f>
        <v>3.2465449091496852E-2</v>
      </c>
      <c r="E3">
        <f>'Scenario inputs'!C12</f>
        <v>3.2465449091496852E-2</v>
      </c>
      <c r="F3">
        <f>'Scenario inputs'!C12</f>
        <v>3.2465449091496852E-2</v>
      </c>
      <c r="G3">
        <f>'Scenario inputs'!C12</f>
        <v>3.2465449091496852E-2</v>
      </c>
      <c r="H3">
        <f>G3-((G3-M3)/5)*1</f>
        <v>2.9972359273197482E-2</v>
      </c>
      <c r="I3">
        <f>G3-((G3-M3)/5)*2</f>
        <v>2.7479269454898113E-2</v>
      </c>
      <c r="J3">
        <f>G3-((G3-M3)/5)*3</f>
        <v>2.498617963659874E-2</v>
      </c>
      <c r="K3">
        <f>G3-((G3-M3)/5)*4</f>
        <v>2.249308981829937E-2</v>
      </c>
      <c r="L3">
        <f>G3-((G3-M3)/5)*5</f>
        <v>0.02</v>
      </c>
      <c r="M3">
        <f>'Scenario inputs'!C13</f>
        <v>0.02</v>
      </c>
    </row>
    <row r="4" spans="1:13" x14ac:dyDescent="0.35">
      <c r="A4" s="1" t="s">
        <v>144</v>
      </c>
      <c r="B4">
        <f>'Scenario inputs'!C2</f>
        <v>619.98500000000001</v>
      </c>
      <c r="C4">
        <f t="shared" ref="C4:M4" si="0">B4*(1+C3)</f>
        <v>630</v>
      </c>
      <c r="D4">
        <f t="shared" si="0"/>
        <v>650.45323292764306</v>
      </c>
      <c r="E4">
        <f t="shared" si="0"/>
        <v>671.57048924765502</v>
      </c>
      <c r="F4">
        <f t="shared" si="0"/>
        <v>693.37332677767643</v>
      </c>
      <c r="G4">
        <f t="shared" si="0"/>
        <v>715.88400321957886</v>
      </c>
      <c r="H4">
        <f t="shared" si="0"/>
        <v>737.34073576201092</v>
      </c>
      <c r="I4">
        <f t="shared" si="0"/>
        <v>757.60232052008814</v>
      </c>
      <c r="J4">
        <f t="shared" si="0"/>
        <v>776.53190819370707</v>
      </c>
      <c r="K4">
        <f t="shared" si="0"/>
        <v>793.99851015148352</v>
      </c>
      <c r="L4">
        <f t="shared" si="0"/>
        <v>809.87848035451316</v>
      </c>
      <c r="M4">
        <f t="shared" si="0"/>
        <v>826.07604996160342</v>
      </c>
    </row>
    <row r="5" spans="1:13" x14ac:dyDescent="0.35">
      <c r="A5" s="1" t="s">
        <v>145</v>
      </c>
      <c r="B5">
        <f>B6/B4</f>
        <v>0.17106811723939563</v>
      </c>
      <c r="C5">
        <f>'Scenario inputs'!C14</f>
        <v>0.16708994708994709</v>
      </c>
      <c r="D5">
        <f>IF(D2&gt;'Scenario inputs'!C16,'Scenario inputs'!C15,'Scenario inputs'!C15-(('Scenario inputs'!C15-C5)/'Scenario inputs'!C16)*('Scenario inputs'!C16-D2))</f>
        <v>0.16708994708994709</v>
      </c>
      <c r="E5">
        <f>IF(E2&gt;'Scenario inputs'!C16,'Scenario inputs'!C15,'Scenario inputs'!C15-(('Scenario inputs'!C15-C5)/'Scenario inputs'!C16)*('Scenario inputs'!C16-E2))</f>
        <v>0.16708994708994709</v>
      </c>
      <c r="F5">
        <f>IF(F2&gt;'Scenario inputs'!C16,'Scenario inputs'!C15,'Scenario inputs'!C15-(('Scenario inputs'!C15-C5)/'Scenario inputs'!C16)*('Scenario inputs'!C16-F2))</f>
        <v>0.16708994708994709</v>
      </c>
      <c r="G5">
        <f>IF(G2&gt;'Scenario inputs'!C16,'Scenario inputs'!C15,'Scenario inputs'!C15-(('Scenario inputs'!C15-C5)/'Scenario inputs'!C16)*('Scenario inputs'!C16-G2))</f>
        <v>0.16708994708994709</v>
      </c>
      <c r="H5">
        <f>IF(H2&gt;'Scenario inputs'!C16,'Scenario inputs'!C15,'Scenario inputs'!C15-(('Scenario inputs'!C15-C5)/'Scenario inputs'!C16)*('Scenario inputs'!C16-H2))</f>
        <v>0.16708994708994709</v>
      </c>
      <c r="I5">
        <f>IF(I2&gt;'Scenario inputs'!C16,'Scenario inputs'!C15,'Scenario inputs'!C15-(('Scenario inputs'!C15-C5)/'Scenario inputs'!C16)*('Scenario inputs'!C16-I2))</f>
        <v>0.16708994708994709</v>
      </c>
      <c r="J5">
        <f>IF(J2&gt;'Scenario inputs'!C16,'Scenario inputs'!C15,'Scenario inputs'!C15-(('Scenario inputs'!C15-C5)/'Scenario inputs'!C16)*('Scenario inputs'!C16-J2))</f>
        <v>0.16708994708994709</v>
      </c>
      <c r="K5">
        <f>IF(K2&gt;'Scenario inputs'!C16,'Scenario inputs'!C15,'Scenario inputs'!C15-(('Scenario inputs'!C15-C5)/'Scenario inputs'!C16)*('Scenario inputs'!C16-K2))</f>
        <v>0.16708994708994709</v>
      </c>
      <c r="L5">
        <f>IF(L2&gt;'Scenario inputs'!C16,'Scenario inputs'!C15,'Scenario inputs'!C15-(('Scenario inputs'!C15-C5)/'Scenario inputs'!C16)*('Scenario inputs'!C16-L2))</f>
        <v>0.16708994708994709</v>
      </c>
      <c r="M5">
        <f>(L5)</f>
        <v>0.16708994708994709</v>
      </c>
    </row>
    <row r="6" spans="1:13" x14ac:dyDescent="0.35">
      <c r="A6" s="1" t="s">
        <v>146</v>
      </c>
      <c r="B6">
        <f>'Scenario inputs'!C3</f>
        <v>106.0596666666667</v>
      </c>
      <c r="C6">
        <f t="shared" ref="C6:M6" si="1">C5*C4</f>
        <v>105.26666666666667</v>
      </c>
      <c r="D6">
        <f t="shared" si="1"/>
        <v>108.68419627436491</v>
      </c>
      <c r="E6">
        <f t="shared" si="1"/>
        <v>112.21267751556056</v>
      </c>
      <c r="F6">
        <f t="shared" si="1"/>
        <v>115.85571248486255</v>
      </c>
      <c r="G6">
        <f t="shared" si="1"/>
        <v>119.61702022049894</v>
      </c>
      <c r="H6">
        <f t="shared" si="1"/>
        <v>123.20222452573707</v>
      </c>
      <c r="I6">
        <f t="shared" si="1"/>
        <v>126.58773165092266</v>
      </c>
      <c r="J6">
        <f t="shared" si="1"/>
        <v>129.75067545374216</v>
      </c>
      <c r="K6">
        <f t="shared" si="1"/>
        <v>132.66916905070821</v>
      </c>
      <c r="L6">
        <f t="shared" si="1"/>
        <v>135.32255243172236</v>
      </c>
      <c r="M6">
        <f t="shared" si="1"/>
        <v>138.02900348035681</v>
      </c>
    </row>
    <row r="7" spans="1:13" x14ac:dyDescent="0.35">
      <c r="A7" s="1" t="s">
        <v>147</v>
      </c>
      <c r="B7">
        <f>'Scenario inputs'!C17</f>
        <v>0.23499999999999999</v>
      </c>
      <c r="C7">
        <f>(B7)</f>
        <v>0.23499999999999999</v>
      </c>
      <c r="D7">
        <f>(C7)</f>
        <v>0.23499999999999999</v>
      </c>
      <c r="E7">
        <f>(D7)</f>
        <v>0.23499999999999999</v>
      </c>
      <c r="F7">
        <f>(E7)</f>
        <v>0.23499999999999999</v>
      </c>
      <c r="G7">
        <f>(F7)</f>
        <v>0.23499999999999999</v>
      </c>
      <c r="H7">
        <f>G7+(M7-G7)/5</f>
        <v>0.23799999999999999</v>
      </c>
      <c r="I7">
        <f>H7+(M7-G7)/5</f>
        <v>0.24099999999999999</v>
      </c>
      <c r="J7">
        <f>I7+(M7-G7)/5</f>
        <v>0.24399999999999999</v>
      </c>
      <c r="K7">
        <f>J7+(M7-G7)/5</f>
        <v>0.247</v>
      </c>
      <c r="L7">
        <f>K7+(M7-G7)/5</f>
        <v>0.25</v>
      </c>
      <c r="M7">
        <f>'Scenario inputs'!C18</f>
        <v>0.25</v>
      </c>
    </row>
    <row r="8" spans="1:13" x14ac:dyDescent="0.35">
      <c r="A8" s="1" t="s">
        <v>148</v>
      </c>
      <c r="B8">
        <f t="shared" ref="B8:L8" si="2">IF(B6&gt;0,B6*(1-B7),B6)</f>
        <v>81.135645000000025</v>
      </c>
      <c r="C8">
        <f t="shared" si="2"/>
        <v>80.528999999999996</v>
      </c>
      <c r="D8">
        <f t="shared" si="2"/>
        <v>83.143410149889149</v>
      </c>
      <c r="E8">
        <f t="shared" si="2"/>
        <v>85.842698299403821</v>
      </c>
      <c r="F8">
        <f t="shared" si="2"/>
        <v>88.629620050919854</v>
      </c>
      <c r="G8">
        <f t="shared" si="2"/>
        <v>91.507020468681688</v>
      </c>
      <c r="H8">
        <f t="shared" si="2"/>
        <v>93.88009508861164</v>
      </c>
      <c r="I8">
        <f t="shared" si="2"/>
        <v>96.080088323050305</v>
      </c>
      <c r="J8">
        <f t="shared" si="2"/>
        <v>98.091510643029068</v>
      </c>
      <c r="K8">
        <f t="shared" si="2"/>
        <v>99.899884295183284</v>
      </c>
      <c r="L8">
        <f t="shared" si="2"/>
        <v>101.49191432379178</v>
      </c>
      <c r="M8">
        <f>M6*(1-M7)</f>
        <v>103.52175261026761</v>
      </c>
    </row>
    <row r="9" spans="1:13" x14ac:dyDescent="0.35">
      <c r="A9" s="1" t="s">
        <v>149</v>
      </c>
      <c r="C9">
        <f>'Scenario inputs'!C19</f>
        <v>2</v>
      </c>
      <c r="D9">
        <f>'Scenario inputs'!C19</f>
        <v>2</v>
      </c>
      <c r="E9">
        <f>'Scenario inputs'!C19</f>
        <v>2</v>
      </c>
      <c r="F9">
        <f>'Scenario inputs'!C19</f>
        <v>2</v>
      </c>
      <c r="G9">
        <f>'Scenario inputs'!C19</f>
        <v>2</v>
      </c>
      <c r="H9">
        <f>'Scenario inputs'!C20</f>
        <v>2</v>
      </c>
      <c r="I9">
        <f>'Scenario inputs'!C20</f>
        <v>2</v>
      </c>
      <c r="J9">
        <f>'Scenario inputs'!C20</f>
        <v>2</v>
      </c>
      <c r="K9">
        <f>'Scenario inputs'!C20</f>
        <v>2</v>
      </c>
      <c r="L9">
        <f>'Scenario inputs'!C20</f>
        <v>2</v>
      </c>
    </row>
    <row r="10" spans="1:13" x14ac:dyDescent="0.35">
      <c r="A10" s="1" t="s">
        <v>150</v>
      </c>
      <c r="C10">
        <f t="shared" ref="C10:L10" si="3">(D4-C4)/C9</f>
        <v>10.226616463821529</v>
      </c>
      <c r="D10">
        <f t="shared" si="3"/>
        <v>10.558628160005981</v>
      </c>
      <c r="E10">
        <f t="shared" si="3"/>
        <v>10.901418765010703</v>
      </c>
      <c r="F10">
        <f t="shared" si="3"/>
        <v>11.255338220951216</v>
      </c>
      <c r="G10">
        <f t="shared" si="3"/>
        <v>10.728366271216032</v>
      </c>
      <c r="H10">
        <f t="shared" si="3"/>
        <v>10.13079237903861</v>
      </c>
      <c r="I10">
        <f t="shared" si="3"/>
        <v>9.4647938368094628</v>
      </c>
      <c r="J10">
        <f t="shared" si="3"/>
        <v>8.7333009788882237</v>
      </c>
      <c r="K10">
        <f t="shared" si="3"/>
        <v>7.9399851015148215</v>
      </c>
      <c r="L10">
        <f t="shared" si="3"/>
        <v>8.0987848035451293</v>
      </c>
      <c r="M10">
        <f>IF(M3&gt;0,(M3/B17)*M8,0)</f>
        <v>21.914454051187981</v>
      </c>
    </row>
    <row r="11" spans="1:13" x14ac:dyDescent="0.35">
      <c r="A11" s="1" t="s">
        <v>151</v>
      </c>
      <c r="C11">
        <f t="shared" ref="C11:M11" si="4">C8-C10</f>
        <v>70.302383536178468</v>
      </c>
      <c r="D11">
        <f t="shared" si="4"/>
        <v>72.584781989883169</v>
      </c>
      <c r="E11">
        <f t="shared" si="4"/>
        <v>74.941279534393118</v>
      </c>
      <c r="F11">
        <f t="shared" si="4"/>
        <v>77.374281829968638</v>
      </c>
      <c r="G11">
        <f t="shared" si="4"/>
        <v>80.778654197465656</v>
      </c>
      <c r="H11">
        <f t="shared" si="4"/>
        <v>83.74930270957303</v>
      </c>
      <c r="I11">
        <f t="shared" si="4"/>
        <v>86.615294486240842</v>
      </c>
      <c r="J11">
        <f t="shared" si="4"/>
        <v>89.358209664140844</v>
      </c>
      <c r="K11">
        <f t="shared" si="4"/>
        <v>91.959899193668463</v>
      </c>
      <c r="L11">
        <f t="shared" si="4"/>
        <v>93.393129520246646</v>
      </c>
      <c r="M11">
        <f t="shared" si="4"/>
        <v>81.607298559079624</v>
      </c>
    </row>
    <row r="12" spans="1:13" x14ac:dyDescent="0.35">
      <c r="A12" s="1" t="s">
        <v>152</v>
      </c>
      <c r="C12">
        <f>'Scenario inputs'!C21</f>
        <v>8.6579251013891551E-2</v>
      </c>
      <c r="D12">
        <f>'Scenario inputs'!C21</f>
        <v>8.6579251013891551E-2</v>
      </c>
      <c r="E12">
        <f>'Scenario inputs'!C21</f>
        <v>8.6579251013891551E-2</v>
      </c>
      <c r="F12">
        <f>'Scenario inputs'!C21</f>
        <v>8.6579251013891551E-2</v>
      </c>
      <c r="G12">
        <f>'Scenario inputs'!C21</f>
        <v>8.6579251013891551E-2</v>
      </c>
      <c r="H12">
        <f>G12-(G12-M12)/5</f>
        <v>8.8159012331885889E-2</v>
      </c>
      <c r="I12">
        <f>H12-(G12-M12)/5</f>
        <v>8.9738773649880227E-2</v>
      </c>
      <c r="J12">
        <f>I12-(G12-M12)/5</f>
        <v>9.1318534967874565E-2</v>
      </c>
      <c r="K12">
        <f>J12-(G12-M12)/5</f>
        <v>9.2898296285868903E-2</v>
      </c>
      <c r="L12">
        <f>K12-(G12-M12)/5</f>
        <v>9.4478057603863241E-2</v>
      </c>
      <c r="M12">
        <f>'Scenario inputs'!C22</f>
        <v>9.4478057603863227E-2</v>
      </c>
    </row>
    <row r="13" spans="1:13" x14ac:dyDescent="0.35">
      <c r="A13" s="1" t="s">
        <v>153</v>
      </c>
      <c r="C13">
        <f>1/(1+C12)</f>
        <v>0.92031943281347939</v>
      </c>
      <c r="D13">
        <f t="shared" ref="D13:L13" si="5">C13*(1/(1+D12))</f>
        <v>0.84698785841412438</v>
      </c>
      <c r="E13">
        <f t="shared" si="5"/>
        <v>0.7794993854555905</v>
      </c>
      <c r="F13">
        <f t="shared" si="5"/>
        <v>0.71738843230094484</v>
      </c>
      <c r="G13">
        <f t="shared" si="5"/>
        <v>0.66022651512215669</v>
      </c>
      <c r="H13">
        <f t="shared" si="5"/>
        <v>0.60673716583692572</v>
      </c>
      <c r="I13">
        <f t="shared" si="5"/>
        <v>0.55677303635326358</v>
      </c>
      <c r="J13">
        <f t="shared" si="5"/>
        <v>0.51018379924212809</v>
      </c>
      <c r="K13">
        <f t="shared" si="5"/>
        <v>0.46681727016681113</v>
      </c>
      <c r="L13">
        <f t="shared" si="5"/>
        <v>0.42652044682267309</v>
      </c>
    </row>
    <row r="14" spans="1:13" x14ac:dyDescent="0.35">
      <c r="A14" s="1" t="s">
        <v>154</v>
      </c>
      <c r="C14">
        <f t="shared" ref="C14:L14" si="6">C11*C13</f>
        <v>64.700649741451457</v>
      </c>
      <c r="D14">
        <f t="shared" si="6"/>
        <v>61.478429051067252</v>
      </c>
      <c r="E14">
        <f t="shared" si="6"/>
        <v>58.416681342315059</v>
      </c>
      <c r="F14">
        <f t="shared" si="6"/>
        <v>55.507414742412685</v>
      </c>
      <c r="G14">
        <f t="shared" si="6"/>
        <v>53.332209357050523</v>
      </c>
      <c r="H14">
        <f t="shared" si="6"/>
        <v>50.813814566825101</v>
      </c>
      <c r="I14">
        <f t="shared" si="6"/>
        <v>48.225060505736401</v>
      </c>
      <c r="J14">
        <f t="shared" si="6"/>
        <v>45.58911089992602</v>
      </c>
      <c r="K14">
        <f t="shared" si="6"/>
        <v>42.928469106403448</v>
      </c>
      <c r="L14">
        <f t="shared" si="6"/>
        <v>39.834079333143379</v>
      </c>
    </row>
    <row r="15" spans="1:13" x14ac:dyDescent="0.35">
      <c r="A15" s="1" t="s">
        <v>155</v>
      </c>
      <c r="B15">
        <f>'Scenario inputs'!C4</f>
        <v>313.43700000000001</v>
      </c>
      <c r="C15">
        <f t="shared" ref="C15:L15" si="7">B15+C10</f>
        <v>323.66361646382154</v>
      </c>
      <c r="D15">
        <f t="shared" si="7"/>
        <v>334.22224462382752</v>
      </c>
      <c r="E15">
        <f t="shared" si="7"/>
        <v>345.12366338883822</v>
      </c>
      <c r="F15">
        <f t="shared" si="7"/>
        <v>356.37900160978944</v>
      </c>
      <c r="G15">
        <f t="shared" si="7"/>
        <v>367.10736788100547</v>
      </c>
      <c r="H15">
        <f t="shared" si="7"/>
        <v>377.23816026004408</v>
      </c>
      <c r="I15">
        <f t="shared" si="7"/>
        <v>386.70295409685355</v>
      </c>
      <c r="J15">
        <f t="shared" si="7"/>
        <v>395.43625507574177</v>
      </c>
      <c r="K15">
        <f t="shared" si="7"/>
        <v>403.37624017725659</v>
      </c>
      <c r="L15">
        <f t="shared" si="7"/>
        <v>411.47502498080172</v>
      </c>
    </row>
    <row r="16" spans="1:13" x14ac:dyDescent="0.35">
      <c r="A16" s="1" t="s">
        <v>156</v>
      </c>
      <c r="B16">
        <f>B8/B15</f>
        <v>0.25885790445926937</v>
      </c>
      <c r="C16">
        <f t="shared" ref="C16:L16" si="8">C8/B15</f>
        <v>0.25692244374467593</v>
      </c>
      <c r="D16">
        <f t="shared" si="8"/>
        <v>0.25688216382882428</v>
      </c>
      <c r="E16">
        <f t="shared" si="8"/>
        <v>0.25684316253701528</v>
      </c>
      <c r="F16">
        <f t="shared" si="8"/>
        <v>0.25680539891309656</v>
      </c>
      <c r="G16">
        <f t="shared" si="8"/>
        <v>0.25676883333568457</v>
      </c>
      <c r="H16">
        <f t="shared" si="8"/>
        <v>0.2557292588010438</v>
      </c>
      <c r="I16">
        <f t="shared" si="8"/>
        <v>0.25469344950897538</v>
      </c>
      <c r="J16">
        <f t="shared" si="8"/>
        <v>0.25366113603171775</v>
      </c>
      <c r="K16">
        <f t="shared" si="8"/>
        <v>0.25263208168924339</v>
      </c>
      <c r="L16">
        <f t="shared" si="8"/>
        <v>0.25160607942399615</v>
      </c>
    </row>
    <row r="17" spans="1:2" x14ac:dyDescent="0.35">
      <c r="A17" s="1" t="s">
        <v>157</v>
      </c>
      <c r="B17">
        <f>IF('Scenario inputs'!C23=1,'Scenario inputs'!C24,L12)</f>
        <v>9.4478057603863241E-2</v>
      </c>
    </row>
    <row r="18" spans="1:2" x14ac:dyDescent="0.35">
      <c r="A18" s="1" t="s">
        <v>158</v>
      </c>
      <c r="B18">
        <f>M11/(M12-M3)</f>
        <v>1095.7227025593993</v>
      </c>
    </row>
    <row r="19" spans="1:2" x14ac:dyDescent="0.35">
      <c r="A19" s="1" t="s">
        <v>159</v>
      </c>
      <c r="B19">
        <f>B18*L13</f>
        <v>467.34813668938193</v>
      </c>
    </row>
    <row r="20" spans="1:2" x14ac:dyDescent="0.35">
      <c r="A20" s="1" t="s">
        <v>160</v>
      </c>
      <c r="B20">
        <f>SUM(C14:L14)</f>
        <v>520.82591864633127</v>
      </c>
    </row>
    <row r="21" spans="1:2" x14ac:dyDescent="0.35">
      <c r="A21" s="1" t="s">
        <v>161</v>
      </c>
      <c r="B21">
        <f>B19+B20</f>
        <v>988.17405533571321</v>
      </c>
    </row>
    <row r="22" spans="1:2" x14ac:dyDescent="0.35">
      <c r="A22" s="1" t="s">
        <v>162</v>
      </c>
      <c r="B22">
        <f>'Scenario inputs'!C5</f>
        <v>86.995000000000005</v>
      </c>
    </row>
    <row r="23" spans="1:2" x14ac:dyDescent="0.35">
      <c r="A23" s="1" t="s">
        <v>163</v>
      </c>
      <c r="B23">
        <f>'Scenario inputs'!C6</f>
        <v>58.13</v>
      </c>
    </row>
    <row r="24" spans="1:2" x14ac:dyDescent="0.35">
      <c r="A24" s="1" t="s">
        <v>164</v>
      </c>
      <c r="B24">
        <f>'Scenario inputs'!C7</f>
        <v>0</v>
      </c>
    </row>
    <row r="25" spans="1:2" x14ac:dyDescent="0.35">
      <c r="A25" s="1" t="s">
        <v>165</v>
      </c>
      <c r="B25">
        <f>'Scenario inputs'!C8</f>
        <v>0</v>
      </c>
    </row>
    <row r="26" spans="1:2" x14ac:dyDescent="0.35">
      <c r="A26" s="1" t="s">
        <v>166</v>
      </c>
      <c r="B26">
        <f>B21-B22-B24+B23+B25</f>
        <v>959.3090553357132</v>
      </c>
    </row>
    <row r="27" spans="1:2" x14ac:dyDescent="0.35">
      <c r="A27" s="1" t="s">
        <v>167</v>
      </c>
      <c r="B27">
        <f>'Scenario inputs'!C9</f>
        <v>0</v>
      </c>
    </row>
    <row r="28" spans="1:2" x14ac:dyDescent="0.35">
      <c r="A28" s="1" t="s">
        <v>168</v>
      </c>
      <c r="B28">
        <f>B26-B27</f>
        <v>959.3090553357132</v>
      </c>
    </row>
    <row r="29" spans="1:2" x14ac:dyDescent="0.35">
      <c r="A29" s="1" t="s">
        <v>169</v>
      </c>
      <c r="B29">
        <f>'Scenario inputs'!C10</f>
        <v>13.633262999999999</v>
      </c>
    </row>
    <row r="30" spans="1:2" x14ac:dyDescent="0.35">
      <c r="A30" s="1" t="s">
        <v>170</v>
      </c>
      <c r="B30">
        <f>B28/B29</f>
        <v>70.365330393443827</v>
      </c>
    </row>
    <row r="31" spans="1:2" x14ac:dyDescent="0.35">
      <c r="A31" s="1" t="s">
        <v>171</v>
      </c>
      <c r="B31">
        <f>B19/B21</f>
        <v>0.47294111211066897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inputs'!D11</f>
        <v>3.6315394727291839E-2</v>
      </c>
      <c r="D3">
        <f>'Scenario inputs'!D12</f>
        <v>5.8096824069499453E-2</v>
      </c>
      <c r="E3">
        <f>'Scenario inputs'!D12</f>
        <v>5.8096824069499453E-2</v>
      </c>
      <c r="F3">
        <f>'Scenario inputs'!D12</f>
        <v>5.8096824069499453E-2</v>
      </c>
      <c r="G3">
        <f>'Scenario inputs'!D12</f>
        <v>5.8096824069499453E-2</v>
      </c>
      <c r="H3">
        <f>G3-((G3-M3)/5)*1</f>
        <v>5.1477459255599566E-2</v>
      </c>
      <c r="I3">
        <f>G3-((G3-M3)/5)*2</f>
        <v>4.4858094441699671E-2</v>
      </c>
      <c r="J3">
        <f>G3-((G3-M3)/5)*3</f>
        <v>3.8238729627799783E-2</v>
      </c>
      <c r="K3">
        <f>G3-((G3-M3)/5)*4</f>
        <v>3.1619364813899889E-2</v>
      </c>
      <c r="L3">
        <f>G3-((G3-M3)/5)*5</f>
        <v>2.5000000000000001E-2</v>
      </c>
      <c r="M3">
        <f>'Scenario inputs'!D13</f>
        <v>2.5000000000000001E-2</v>
      </c>
    </row>
    <row r="4" spans="1:13" x14ac:dyDescent="0.35">
      <c r="A4" s="1" t="s">
        <v>144</v>
      </c>
      <c r="B4">
        <f>'Scenario inputs'!D2</f>
        <v>619.98500000000001</v>
      </c>
      <c r="C4">
        <f t="shared" ref="C4:M4" si="0">B4*(1+C3)</f>
        <v>642.5</v>
      </c>
      <c r="D4">
        <f t="shared" si="0"/>
        <v>679.82720946465338</v>
      </c>
      <c r="E4">
        <f t="shared" si="0"/>
        <v>719.32301125058007</v>
      </c>
      <c r="F4">
        <f t="shared" si="0"/>
        <v>761.11339368434756</v>
      </c>
      <c r="G4">
        <f t="shared" si="0"/>
        <v>805.33166461416681</v>
      </c>
      <c r="H4">
        <f t="shared" si="0"/>
        <v>846.78809256658678</v>
      </c>
      <c r="I4">
        <f t="shared" si="0"/>
        <v>884.77339279504542</v>
      </c>
      <c r="J4">
        <f t="shared" si="0"/>
        <v>918.60600334400624</v>
      </c>
      <c r="K4">
        <f t="shared" si="0"/>
        <v>947.6517416839788</v>
      </c>
      <c r="L4">
        <f t="shared" si="0"/>
        <v>971.3430352260782</v>
      </c>
      <c r="M4">
        <f t="shared" si="0"/>
        <v>995.62661110673002</v>
      </c>
    </row>
    <row r="5" spans="1:13" x14ac:dyDescent="0.35">
      <c r="A5" s="1" t="s">
        <v>145</v>
      </c>
      <c r="B5">
        <f>B6/B4</f>
        <v>0.17106811723939563</v>
      </c>
      <c r="C5">
        <f>'Scenario inputs'!D14</f>
        <v>0.1692866407263294</v>
      </c>
      <c r="D5">
        <f>IF(D2&gt;'Scenario inputs'!D16,'Scenario inputs'!D15,'Scenario inputs'!D15-(('Scenario inputs'!D15-C5)/'Scenario inputs'!D16)*('Scenario inputs'!D16-D2))</f>
        <v>0.17357198443579763</v>
      </c>
      <c r="E5">
        <f>IF(E2&gt;'Scenario inputs'!D16,'Scenario inputs'!D15,'Scenario inputs'!D15-(('Scenario inputs'!D15-C5)/'Scenario inputs'!D16)*('Scenario inputs'!D16-E2))</f>
        <v>0.17571465629053176</v>
      </c>
      <c r="F5">
        <f>IF(F2&gt;'Scenario inputs'!D16,'Scenario inputs'!D15,'Scenario inputs'!D15-(('Scenario inputs'!D15-C5)/'Scenario inputs'!D16)*('Scenario inputs'!D16-F2))</f>
        <v>0.17785732814526586</v>
      </c>
      <c r="G5">
        <f>IF(G2&gt;'Scenario inputs'!D16,'Scenario inputs'!D15,'Scenario inputs'!D15-(('Scenario inputs'!D15-C5)/'Scenario inputs'!D16)*('Scenario inputs'!D16-G2))</f>
        <v>0.18</v>
      </c>
      <c r="H5">
        <f>IF(H2&gt;'Scenario inputs'!D16,'Scenario inputs'!D15,'Scenario inputs'!D15-(('Scenario inputs'!D15-C5)/'Scenario inputs'!D16)*('Scenario inputs'!D16-H2))</f>
        <v>0.18</v>
      </c>
      <c r="I5">
        <f>IF(I2&gt;'Scenario inputs'!D16,'Scenario inputs'!D15,'Scenario inputs'!D15-(('Scenario inputs'!D15-C5)/'Scenario inputs'!D16)*('Scenario inputs'!D16-I2))</f>
        <v>0.18</v>
      </c>
      <c r="J5">
        <f>IF(J2&gt;'Scenario inputs'!D16,'Scenario inputs'!D15,'Scenario inputs'!D15-(('Scenario inputs'!D15-C5)/'Scenario inputs'!D16)*('Scenario inputs'!D16-J2))</f>
        <v>0.18</v>
      </c>
      <c r="K5">
        <f>IF(K2&gt;'Scenario inputs'!D16,'Scenario inputs'!D15,'Scenario inputs'!D15-(('Scenario inputs'!D15-C5)/'Scenario inputs'!D16)*('Scenario inputs'!D16-K2))</f>
        <v>0.18</v>
      </c>
      <c r="L5">
        <f>IF(L2&gt;'Scenario inputs'!D16,'Scenario inputs'!D15,'Scenario inputs'!D15-(('Scenario inputs'!D15-C5)/'Scenario inputs'!D16)*('Scenario inputs'!D16-L2))</f>
        <v>0.18</v>
      </c>
      <c r="M5">
        <f>(L5)</f>
        <v>0.18</v>
      </c>
    </row>
    <row r="6" spans="1:13" x14ac:dyDescent="0.35">
      <c r="A6" s="1" t="s">
        <v>146</v>
      </c>
      <c r="B6">
        <f>'Scenario inputs'!D3</f>
        <v>106.0596666666667</v>
      </c>
      <c r="C6">
        <f t="shared" ref="C6:M6" si="1">C5*C4</f>
        <v>108.76666666666664</v>
      </c>
      <c r="D6">
        <f t="shared" si="1"/>
        <v>117.99895782023056</v>
      </c>
      <c r="E6">
        <f t="shared" si="1"/>
        <v>126.39559568376599</v>
      </c>
      <c r="F6">
        <f t="shared" si="1"/>
        <v>135.36959461627393</v>
      </c>
      <c r="G6">
        <f t="shared" si="1"/>
        <v>144.95969963055003</v>
      </c>
      <c r="H6">
        <f t="shared" si="1"/>
        <v>152.42185666198563</v>
      </c>
      <c r="I6">
        <f t="shared" si="1"/>
        <v>159.25921070310818</v>
      </c>
      <c r="J6">
        <f t="shared" si="1"/>
        <v>165.34908060192112</v>
      </c>
      <c r="K6">
        <f t="shared" si="1"/>
        <v>170.57731350311619</v>
      </c>
      <c r="L6">
        <f t="shared" si="1"/>
        <v>174.84174634069407</v>
      </c>
      <c r="M6">
        <f t="shared" si="1"/>
        <v>179.2127899992114</v>
      </c>
    </row>
    <row r="7" spans="1:13" x14ac:dyDescent="0.35">
      <c r="A7" s="1" t="s">
        <v>147</v>
      </c>
      <c r="B7">
        <f>'Scenario inputs'!D17</f>
        <v>0.23</v>
      </c>
      <c r="C7">
        <f>(B7)</f>
        <v>0.23</v>
      </c>
      <c r="D7">
        <f>(C7)</f>
        <v>0.23</v>
      </c>
      <c r="E7">
        <f>(D7)</f>
        <v>0.23</v>
      </c>
      <c r="F7">
        <f>(E7)</f>
        <v>0.23</v>
      </c>
      <c r="G7">
        <f>(F7)</f>
        <v>0.23</v>
      </c>
      <c r="H7">
        <f>G7+(M7-G7)/5</f>
        <v>0.23400000000000001</v>
      </c>
      <c r="I7">
        <f>H7+(M7-G7)/5</f>
        <v>0.23800000000000002</v>
      </c>
      <c r="J7">
        <f>I7+(M7-G7)/5</f>
        <v>0.24200000000000002</v>
      </c>
      <c r="K7">
        <f>J7+(M7-G7)/5</f>
        <v>0.24600000000000002</v>
      </c>
      <c r="L7">
        <f>K7+(M7-G7)/5</f>
        <v>0.25</v>
      </c>
      <c r="M7">
        <f>'Scenario inputs'!D18</f>
        <v>0.25</v>
      </c>
    </row>
    <row r="8" spans="1:13" x14ac:dyDescent="0.35">
      <c r="A8" s="1" t="s">
        <v>148</v>
      </c>
      <c r="B8">
        <f t="shared" ref="B8:L8" si="2">IF(B6&gt;0,B6*(1-B7),B6)</f>
        <v>81.66594333333336</v>
      </c>
      <c r="C8">
        <f t="shared" si="2"/>
        <v>83.750333333333316</v>
      </c>
      <c r="D8">
        <f t="shared" si="2"/>
        <v>90.859197521577528</v>
      </c>
      <c r="E8">
        <f t="shared" si="2"/>
        <v>97.324608676499821</v>
      </c>
      <c r="F8">
        <f t="shared" si="2"/>
        <v>104.23458785453093</v>
      </c>
      <c r="G8">
        <f t="shared" si="2"/>
        <v>111.61896871552352</v>
      </c>
      <c r="H8">
        <f t="shared" si="2"/>
        <v>116.75514220308099</v>
      </c>
      <c r="I8">
        <f t="shared" si="2"/>
        <v>121.35551855576844</v>
      </c>
      <c r="J8">
        <f t="shared" si="2"/>
        <v>125.3346030962562</v>
      </c>
      <c r="K8">
        <f t="shared" si="2"/>
        <v>128.6152943813496</v>
      </c>
      <c r="L8">
        <f t="shared" si="2"/>
        <v>131.13130975552056</v>
      </c>
      <c r="M8">
        <f>M6*(1-M7)</f>
        <v>134.40959249940855</v>
      </c>
    </row>
    <row r="9" spans="1:13" x14ac:dyDescent="0.35">
      <c r="A9" s="1" t="s">
        <v>149</v>
      </c>
      <c r="C9">
        <f>'Scenario inputs'!D19</f>
        <v>2</v>
      </c>
      <c r="D9">
        <f>'Scenario inputs'!D19</f>
        <v>2</v>
      </c>
      <c r="E9">
        <f>'Scenario inputs'!D19</f>
        <v>2</v>
      </c>
      <c r="F9">
        <f>'Scenario inputs'!D19</f>
        <v>2</v>
      </c>
      <c r="G9">
        <f>'Scenario inputs'!D19</f>
        <v>2</v>
      </c>
      <c r="H9">
        <f>'Scenario inputs'!D20</f>
        <v>2</v>
      </c>
      <c r="I9">
        <f>'Scenario inputs'!D20</f>
        <v>2</v>
      </c>
      <c r="J9">
        <f>'Scenario inputs'!D20</f>
        <v>2</v>
      </c>
      <c r="K9">
        <f>'Scenario inputs'!D20</f>
        <v>2</v>
      </c>
      <c r="L9">
        <f>'Scenario inputs'!D20</f>
        <v>2</v>
      </c>
    </row>
    <row r="10" spans="1:13" x14ac:dyDescent="0.35">
      <c r="A10" s="1" t="s">
        <v>150</v>
      </c>
      <c r="C10">
        <f t="shared" ref="C10:L10" si="3">(D4-C4)/C9</f>
        <v>18.663604732326689</v>
      </c>
      <c r="D10">
        <f t="shared" si="3"/>
        <v>19.747900892963344</v>
      </c>
      <c r="E10">
        <f t="shared" si="3"/>
        <v>20.895191216883745</v>
      </c>
      <c r="F10">
        <f t="shared" si="3"/>
        <v>22.109135464909627</v>
      </c>
      <c r="G10">
        <f t="shared" si="3"/>
        <v>20.728213976209986</v>
      </c>
      <c r="H10">
        <f t="shared" si="3"/>
        <v>18.99265011422932</v>
      </c>
      <c r="I10">
        <f t="shared" si="3"/>
        <v>16.916305274480408</v>
      </c>
      <c r="J10">
        <f t="shared" si="3"/>
        <v>14.522869169986279</v>
      </c>
      <c r="K10">
        <f t="shared" si="3"/>
        <v>11.845646771049701</v>
      </c>
      <c r="L10">
        <f t="shared" si="3"/>
        <v>12.141787940325912</v>
      </c>
      <c r="M10">
        <f>IF(M3&gt;0,(M3/B17)*M8,0)</f>
        <v>22.401598749901428</v>
      </c>
    </row>
    <row r="11" spans="1:13" x14ac:dyDescent="0.35">
      <c r="A11" s="1" t="s">
        <v>151</v>
      </c>
      <c r="C11">
        <f t="shared" ref="C11:M11" si="4">C8-C10</f>
        <v>65.086728601006627</v>
      </c>
      <c r="D11">
        <f t="shared" si="4"/>
        <v>71.111296628614184</v>
      </c>
      <c r="E11">
        <f t="shared" si="4"/>
        <v>76.429417459616076</v>
      </c>
      <c r="F11">
        <f t="shared" si="4"/>
        <v>82.125452389621302</v>
      </c>
      <c r="G11">
        <f t="shared" si="4"/>
        <v>90.890754739313536</v>
      </c>
      <c r="H11">
        <f t="shared" si="4"/>
        <v>97.762492088851673</v>
      </c>
      <c r="I11">
        <f t="shared" si="4"/>
        <v>104.43921328128803</v>
      </c>
      <c r="J11">
        <f t="shared" si="4"/>
        <v>110.81173392626992</v>
      </c>
      <c r="K11">
        <f t="shared" si="4"/>
        <v>116.7696476102999</v>
      </c>
      <c r="L11">
        <f t="shared" si="4"/>
        <v>118.98952181519465</v>
      </c>
      <c r="M11">
        <f t="shared" si="4"/>
        <v>112.00799374950712</v>
      </c>
    </row>
    <row r="12" spans="1:13" x14ac:dyDescent="0.35">
      <c r="A12" s="1" t="s">
        <v>152</v>
      </c>
      <c r="C12">
        <f>'Scenario inputs'!D21</f>
        <v>7.4013719318297547E-2</v>
      </c>
      <c r="D12">
        <f>'Scenario inputs'!D21</f>
        <v>7.4013719318297547E-2</v>
      </c>
      <c r="E12">
        <f>'Scenario inputs'!D21</f>
        <v>7.4013719318297547E-2</v>
      </c>
      <c r="F12">
        <f>'Scenario inputs'!D21</f>
        <v>7.4013719318297547E-2</v>
      </c>
      <c r="G12">
        <f>'Scenario inputs'!D21</f>
        <v>7.4013719318297547E-2</v>
      </c>
      <c r="H12">
        <f>G12-(G12-M12)/5</f>
        <v>7.4013719318297547E-2</v>
      </c>
      <c r="I12">
        <f>H12-(G12-M12)/5</f>
        <v>7.4013719318297547E-2</v>
      </c>
      <c r="J12">
        <f>I12-(G12-M12)/5</f>
        <v>7.4013719318297547E-2</v>
      </c>
      <c r="K12">
        <f>J12-(G12-M12)/5</f>
        <v>7.4013719318297547E-2</v>
      </c>
      <c r="L12">
        <f>K12-(G12-M12)/5</f>
        <v>7.4013719318297547E-2</v>
      </c>
      <c r="M12">
        <f>'Scenario inputs'!D22</f>
        <v>7.4013719318297547E-2</v>
      </c>
    </row>
    <row r="13" spans="1:13" x14ac:dyDescent="0.35">
      <c r="A13" s="1" t="s">
        <v>153</v>
      </c>
      <c r="C13">
        <f>1/(1+C12)</f>
        <v>0.9310868027223379</v>
      </c>
      <c r="D13">
        <f t="shared" ref="D13:L13" si="5">C13*(1/(1+D12))</f>
        <v>0.86692263420370574</v>
      </c>
      <c r="E13">
        <f t="shared" si="5"/>
        <v>0.80718022368835529</v>
      </c>
      <c r="F13">
        <f t="shared" si="5"/>
        <v>0.75155485369469222</v>
      </c>
      <c r="G13">
        <f t="shared" si="5"/>
        <v>0.69976280579704542</v>
      </c>
      <c r="H13">
        <f t="shared" si="5"/>
        <v>0.65153991351358331</v>
      </c>
      <c r="I13">
        <f t="shared" si="5"/>
        <v>0.60664021491935083</v>
      </c>
      <c r="J13">
        <f t="shared" si="5"/>
        <v>0.56483469811205023</v>
      </c>
      <c r="K13">
        <f t="shared" si="5"/>
        <v>0.52591013313178581</v>
      </c>
      <c r="L13">
        <f t="shared" si="5"/>
        <v>0.48966798437695352</v>
      </c>
    </row>
    <row r="14" spans="1:13" x14ac:dyDescent="0.35">
      <c r="A14" s="1" t="s">
        <v>154</v>
      </c>
      <c r="C14">
        <f t="shared" ref="C14:L14" si="6">C11*C13</f>
        <v>60.601394032767807</v>
      </c>
      <c r="D14">
        <f t="shared" si="6"/>
        <v>61.647992594919309</v>
      </c>
      <c r="E14">
        <f t="shared" si="6"/>
        <v>61.692314281423592</v>
      </c>
      <c r="F14">
        <f t="shared" si="6"/>
        <v>61.721782355292248</v>
      </c>
      <c r="G14">
        <f t="shared" si="6"/>
        <v>63.60196955739314</v>
      </c>
      <c r="H14">
        <f t="shared" si="6"/>
        <v>63.696165640442793</v>
      </c>
      <c r="I14">
        <f t="shared" si="6"/>
        <v>63.35702679096849</v>
      </c>
      <c r="J14">
        <f t="shared" si="6"/>
        <v>62.590312279517505</v>
      </c>
      <c r="K14">
        <f t="shared" si="6"/>
        <v>61.410340920484536</v>
      </c>
      <c r="L14">
        <f t="shared" si="6"/>
        <v>58.265359309223903</v>
      </c>
    </row>
    <row r="15" spans="1:13" x14ac:dyDescent="0.35">
      <c r="A15" s="1" t="s">
        <v>155</v>
      </c>
      <c r="B15">
        <f>'Scenario inputs'!D4</f>
        <v>313.43700000000001</v>
      </c>
      <c r="C15">
        <f t="shared" ref="C15:L15" si="7">B15+C10</f>
        <v>332.1006047323267</v>
      </c>
      <c r="D15">
        <f t="shared" si="7"/>
        <v>351.84850562529004</v>
      </c>
      <c r="E15">
        <f t="shared" si="7"/>
        <v>372.74369684217379</v>
      </c>
      <c r="F15">
        <f t="shared" si="7"/>
        <v>394.85283230708342</v>
      </c>
      <c r="G15">
        <f t="shared" si="7"/>
        <v>415.5810462832934</v>
      </c>
      <c r="H15">
        <f t="shared" si="7"/>
        <v>434.57369639752272</v>
      </c>
      <c r="I15">
        <f t="shared" si="7"/>
        <v>451.49000167200313</v>
      </c>
      <c r="J15">
        <f t="shared" si="7"/>
        <v>466.01287084198941</v>
      </c>
      <c r="K15">
        <f t="shared" si="7"/>
        <v>477.85851761303911</v>
      </c>
      <c r="L15">
        <f t="shared" si="7"/>
        <v>490.00030555336502</v>
      </c>
    </row>
    <row r="16" spans="1:13" x14ac:dyDescent="0.35">
      <c r="A16" s="1" t="s">
        <v>156</v>
      </c>
      <c r="B16">
        <f>B8/B15</f>
        <v>0.26054978618776137</v>
      </c>
      <c r="C16">
        <f t="shared" ref="C16:L16" si="8">C8/B15</f>
        <v>0.26719989450298887</v>
      </c>
      <c r="D16">
        <f t="shared" si="8"/>
        <v>0.27358937691429408</v>
      </c>
      <c r="E16">
        <f t="shared" si="8"/>
        <v>0.27660941320054411</v>
      </c>
      <c r="F16">
        <f t="shared" si="8"/>
        <v>0.27964144997645846</v>
      </c>
      <c r="G16">
        <f t="shared" si="8"/>
        <v>0.28268498940059683</v>
      </c>
      <c r="H16">
        <f t="shared" si="8"/>
        <v>0.28094433864890778</v>
      </c>
      <c r="I16">
        <f t="shared" si="8"/>
        <v>0.27925187272438934</v>
      </c>
      <c r="J16">
        <f t="shared" si="8"/>
        <v>0.27760216756097478</v>
      </c>
      <c r="K16">
        <f t="shared" si="8"/>
        <v>0.27599086297545433</v>
      </c>
      <c r="L16">
        <f t="shared" si="8"/>
        <v>0.27441450747919544</v>
      </c>
    </row>
    <row r="17" spans="1:2" x14ac:dyDescent="0.35">
      <c r="A17" s="1" t="s">
        <v>157</v>
      </c>
      <c r="B17">
        <f>IF('Scenario inputs'!D23=1,'Scenario inputs'!D24,L12)</f>
        <v>0.15</v>
      </c>
    </row>
    <row r="18" spans="1:2" x14ac:dyDescent="0.35">
      <c r="A18" s="1" t="s">
        <v>158</v>
      </c>
      <c r="B18">
        <f>M11/(M12-M3)</f>
        <v>2285.2375887273847</v>
      </c>
    </row>
    <row r="19" spans="1:2" x14ac:dyDescent="0.35">
      <c r="A19" s="1" t="s">
        <v>159</v>
      </c>
      <c r="B19">
        <f>B18*L13</f>
        <v>1119.0076838945879</v>
      </c>
    </row>
    <row r="20" spans="1:2" x14ac:dyDescent="0.35">
      <c r="A20" s="1" t="s">
        <v>160</v>
      </c>
      <c r="B20">
        <f>SUM(C14:L14)</f>
        <v>618.58465776243327</v>
      </c>
    </row>
    <row r="21" spans="1:2" x14ac:dyDescent="0.35">
      <c r="A21" s="1" t="s">
        <v>161</v>
      </c>
      <c r="B21">
        <f>B19+B20</f>
        <v>1737.5923416570213</v>
      </c>
    </row>
    <row r="22" spans="1:2" x14ac:dyDescent="0.35">
      <c r="A22" s="1" t="s">
        <v>162</v>
      </c>
      <c r="B22">
        <f>'Scenario inputs'!D5</f>
        <v>86.995000000000005</v>
      </c>
    </row>
    <row r="23" spans="1:2" x14ac:dyDescent="0.35">
      <c r="A23" s="1" t="s">
        <v>163</v>
      </c>
      <c r="B23">
        <f>'Scenario inputs'!D6</f>
        <v>58.13</v>
      </c>
    </row>
    <row r="24" spans="1:2" x14ac:dyDescent="0.35">
      <c r="A24" s="1" t="s">
        <v>164</v>
      </c>
      <c r="B24">
        <f>'Scenario inputs'!D7</f>
        <v>0</v>
      </c>
    </row>
    <row r="25" spans="1:2" x14ac:dyDescent="0.35">
      <c r="A25" s="1" t="s">
        <v>165</v>
      </c>
      <c r="B25">
        <f>'Scenario inputs'!D8</f>
        <v>0</v>
      </c>
    </row>
    <row r="26" spans="1:2" x14ac:dyDescent="0.35">
      <c r="A26" s="1" t="s">
        <v>166</v>
      </c>
      <c r="B26">
        <f>B21-B22-B24+B23+B25</f>
        <v>1708.7273416570215</v>
      </c>
    </row>
    <row r="27" spans="1:2" x14ac:dyDescent="0.35">
      <c r="A27" s="1" t="s">
        <v>167</v>
      </c>
      <c r="B27">
        <f>'Scenario inputs'!D9</f>
        <v>0</v>
      </c>
    </row>
    <row r="28" spans="1:2" x14ac:dyDescent="0.35">
      <c r="A28" s="1" t="s">
        <v>168</v>
      </c>
      <c r="B28">
        <f>B26-B27</f>
        <v>1708.7273416570215</v>
      </c>
    </row>
    <row r="29" spans="1:2" x14ac:dyDescent="0.35">
      <c r="A29" s="1" t="s">
        <v>169</v>
      </c>
      <c r="B29">
        <f>'Scenario inputs'!D10</f>
        <v>13.633262999999999</v>
      </c>
    </row>
    <row r="30" spans="1:2" x14ac:dyDescent="0.35">
      <c r="A30" s="1" t="s">
        <v>170</v>
      </c>
      <c r="B30">
        <f>B28/B29</f>
        <v>125.33517043256788</v>
      </c>
    </row>
    <row r="31" spans="1:2" x14ac:dyDescent="0.35">
      <c r="A31" s="1" t="s">
        <v>171</v>
      </c>
      <c r="B31">
        <f>B19/B21</f>
        <v>0.64399897321570143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inputs'!E11</f>
        <v>5.6477172834826561E-2</v>
      </c>
      <c r="D3">
        <f>'Scenario inputs'!E12</f>
        <v>7.9772924907641762E-2</v>
      </c>
      <c r="E3">
        <f>'Scenario inputs'!E12</f>
        <v>7.9772924907641762E-2</v>
      </c>
      <c r="F3">
        <f>'Scenario inputs'!E12</f>
        <v>7.9772924907641762E-2</v>
      </c>
      <c r="G3">
        <f>'Scenario inputs'!E12</f>
        <v>7.9772924907641762E-2</v>
      </c>
      <c r="H3">
        <f>G3-((G3-M3)/5)*1</f>
        <v>6.9818339926113415E-2</v>
      </c>
      <c r="I3">
        <f>G3-((G3-M3)/5)*2</f>
        <v>5.9863754944585054E-2</v>
      </c>
      <c r="J3">
        <f>G3-((G3-M3)/5)*3</f>
        <v>4.9909169963056707E-2</v>
      </c>
      <c r="K3">
        <f>G3-((G3-M3)/5)*4</f>
        <v>3.9954584981528353E-2</v>
      </c>
      <c r="L3">
        <f>G3-((G3-M3)/5)*5</f>
        <v>0.03</v>
      </c>
      <c r="M3">
        <f>'Scenario inputs'!E13</f>
        <v>0.03</v>
      </c>
    </row>
    <row r="4" spans="1:13" x14ac:dyDescent="0.35">
      <c r="A4" s="1" t="s">
        <v>144</v>
      </c>
      <c r="B4">
        <f>'Scenario inputs'!E2</f>
        <v>619.98500000000001</v>
      </c>
      <c r="C4">
        <f t="shared" ref="C4:M4" si="0">B4*(1+C3)</f>
        <v>655</v>
      </c>
      <c r="D4">
        <f t="shared" si="0"/>
        <v>707.25126581450536</v>
      </c>
      <c r="E4">
        <f t="shared" si="0"/>
        <v>763.6707679331605</v>
      </c>
      <c r="F4">
        <f t="shared" si="0"/>
        <v>824.59101875765361</v>
      </c>
      <c r="G4">
        <f t="shared" si="0"/>
        <v>890.37105617652378</v>
      </c>
      <c r="H4">
        <f t="shared" si="0"/>
        <v>952.53528523702892</v>
      </c>
      <c r="I4">
        <f t="shared" si="0"/>
        <v>1009.5576241285288</v>
      </c>
      <c r="J4">
        <f t="shared" si="0"/>
        <v>1059.9438071786592</v>
      </c>
      <c r="K4">
        <f t="shared" si="0"/>
        <v>1102.2934220982236</v>
      </c>
      <c r="L4">
        <f t="shared" si="0"/>
        <v>1135.3622247611704</v>
      </c>
      <c r="M4">
        <f t="shared" si="0"/>
        <v>1169.4230915040055</v>
      </c>
    </row>
    <row r="5" spans="1:13" x14ac:dyDescent="0.35">
      <c r="A5" s="1" t="s">
        <v>145</v>
      </c>
      <c r="B5">
        <f>B6/B4</f>
        <v>0.17106811723939563</v>
      </c>
      <c r="C5">
        <f>'Scenario inputs'!E14</f>
        <v>0.17139949109414759</v>
      </c>
      <c r="D5">
        <f>IF(D2&gt;'Scenario inputs'!E16,'Scenario inputs'!E15,'Scenario inputs'!E15-(('Scenario inputs'!E15-C5)/'Scenario inputs'!E16)*('Scenario inputs'!E16-D2))</f>
        <v>0.18283969465648856</v>
      </c>
      <c r="E5">
        <f>IF(E2&gt;'Scenario inputs'!E16,'Scenario inputs'!E15,'Scenario inputs'!E15-(('Scenario inputs'!E15-C5)/'Scenario inputs'!E16)*('Scenario inputs'!E16-E2))</f>
        <v>0.18855979643765905</v>
      </c>
      <c r="F5">
        <f>IF(F2&gt;'Scenario inputs'!E16,'Scenario inputs'!E15,'Scenario inputs'!E15-(('Scenario inputs'!E15-C5)/'Scenario inputs'!E16)*('Scenario inputs'!E16-F2))</f>
        <v>0.19427989821882952</v>
      </c>
      <c r="G5">
        <f>IF(G2&gt;'Scenario inputs'!E16,'Scenario inputs'!E15,'Scenario inputs'!E15-(('Scenario inputs'!E15-C5)/'Scenario inputs'!E16)*('Scenario inputs'!E16-G2))</f>
        <v>0.2</v>
      </c>
      <c r="H5">
        <f>IF(H2&gt;'Scenario inputs'!E16,'Scenario inputs'!E15,'Scenario inputs'!E15-(('Scenario inputs'!E15-C5)/'Scenario inputs'!E16)*('Scenario inputs'!E16-H2))</f>
        <v>0.2</v>
      </c>
      <c r="I5">
        <f>IF(I2&gt;'Scenario inputs'!E16,'Scenario inputs'!E15,'Scenario inputs'!E15-(('Scenario inputs'!E15-C5)/'Scenario inputs'!E16)*('Scenario inputs'!E16-I2))</f>
        <v>0.2</v>
      </c>
      <c r="J5">
        <f>IF(J2&gt;'Scenario inputs'!E16,'Scenario inputs'!E15,'Scenario inputs'!E15-(('Scenario inputs'!E15-C5)/'Scenario inputs'!E16)*('Scenario inputs'!E16-J2))</f>
        <v>0.2</v>
      </c>
      <c r="K5">
        <f>IF(K2&gt;'Scenario inputs'!E16,'Scenario inputs'!E15,'Scenario inputs'!E15-(('Scenario inputs'!E15-C5)/'Scenario inputs'!E16)*('Scenario inputs'!E16-K2))</f>
        <v>0.2</v>
      </c>
      <c r="L5">
        <f>IF(L2&gt;'Scenario inputs'!E16,'Scenario inputs'!E15,'Scenario inputs'!E15-(('Scenario inputs'!E15-C5)/'Scenario inputs'!E16)*('Scenario inputs'!E16-L2))</f>
        <v>0.2</v>
      </c>
      <c r="M5">
        <f>(L5)</f>
        <v>0.2</v>
      </c>
    </row>
    <row r="6" spans="1:13" x14ac:dyDescent="0.35">
      <c r="A6" s="1" t="s">
        <v>146</v>
      </c>
      <c r="B6">
        <f>'Scenario inputs'!E3</f>
        <v>106.0596666666667</v>
      </c>
      <c r="C6">
        <f t="shared" ref="C6:M6" si="1">C5*C4</f>
        <v>112.26666666666668</v>
      </c>
      <c r="D6">
        <f t="shared" si="1"/>
        <v>129.3136054869392</v>
      </c>
      <c r="E6">
        <f t="shared" si="1"/>
        <v>143.99760454686751</v>
      </c>
      <c r="F6">
        <f t="shared" si="1"/>
        <v>160.20145919639788</v>
      </c>
      <c r="G6">
        <f t="shared" si="1"/>
        <v>178.07421123530477</v>
      </c>
      <c r="H6">
        <f t="shared" si="1"/>
        <v>190.50705704740579</v>
      </c>
      <c r="I6">
        <f t="shared" si="1"/>
        <v>201.91152482570578</v>
      </c>
      <c r="J6">
        <f t="shared" si="1"/>
        <v>211.98876143573185</v>
      </c>
      <c r="K6">
        <f t="shared" si="1"/>
        <v>220.45868441964473</v>
      </c>
      <c r="L6">
        <f t="shared" si="1"/>
        <v>227.07244495223409</v>
      </c>
      <c r="M6">
        <f t="shared" si="1"/>
        <v>233.88461830080109</v>
      </c>
    </row>
    <row r="7" spans="1:13" x14ac:dyDescent="0.35">
      <c r="A7" s="1" t="s">
        <v>147</v>
      </c>
      <c r="B7">
        <f>'Scenario inputs'!E17</f>
        <v>0.22500000000000001</v>
      </c>
      <c r="C7">
        <f>(B7)</f>
        <v>0.22500000000000001</v>
      </c>
      <c r="D7">
        <f>(C7)</f>
        <v>0.22500000000000001</v>
      </c>
      <c r="E7">
        <f>(D7)</f>
        <v>0.22500000000000001</v>
      </c>
      <c r="F7">
        <f>(E7)</f>
        <v>0.22500000000000001</v>
      </c>
      <c r="G7">
        <f>(F7)</f>
        <v>0.22500000000000001</v>
      </c>
      <c r="H7">
        <f>G7+(M7-G7)/5</f>
        <v>0.23</v>
      </c>
      <c r="I7">
        <f>H7+(M7-G7)/5</f>
        <v>0.23500000000000001</v>
      </c>
      <c r="J7">
        <f>I7+(M7-G7)/5</f>
        <v>0.24000000000000002</v>
      </c>
      <c r="K7">
        <f>J7+(M7-G7)/5</f>
        <v>0.24500000000000002</v>
      </c>
      <c r="L7">
        <f>K7+(M7-G7)/5</f>
        <v>0.25</v>
      </c>
      <c r="M7">
        <f>'Scenario inputs'!E18</f>
        <v>0.25</v>
      </c>
    </row>
    <row r="8" spans="1:13" x14ac:dyDescent="0.35">
      <c r="A8" s="1" t="s">
        <v>148</v>
      </c>
      <c r="B8">
        <f t="shared" ref="B8:L8" si="2">IF(B6&gt;0,B6*(1-B7),B6)</f>
        <v>82.196241666666694</v>
      </c>
      <c r="C8">
        <f t="shared" si="2"/>
        <v>87.006666666666675</v>
      </c>
      <c r="D8">
        <f t="shared" si="2"/>
        <v>100.21804425237788</v>
      </c>
      <c r="E8">
        <f t="shared" si="2"/>
        <v>111.59814352382232</v>
      </c>
      <c r="F8">
        <f t="shared" si="2"/>
        <v>124.15613087720835</v>
      </c>
      <c r="G8">
        <f t="shared" si="2"/>
        <v>138.0075137073612</v>
      </c>
      <c r="H8">
        <f t="shared" si="2"/>
        <v>146.69043392650246</v>
      </c>
      <c r="I8">
        <f t="shared" si="2"/>
        <v>154.46231649166492</v>
      </c>
      <c r="J8">
        <f t="shared" si="2"/>
        <v>161.1114586911562</v>
      </c>
      <c r="K8">
        <f t="shared" si="2"/>
        <v>166.44630673683176</v>
      </c>
      <c r="L8">
        <f t="shared" si="2"/>
        <v>170.30433371417558</v>
      </c>
      <c r="M8">
        <f>M6*(1-M7)</f>
        <v>175.41346372560082</v>
      </c>
    </row>
    <row r="9" spans="1:13" x14ac:dyDescent="0.35">
      <c r="A9" s="1" t="s">
        <v>149</v>
      </c>
      <c r="C9">
        <f>'Scenario inputs'!E19</f>
        <v>2</v>
      </c>
      <c r="D9">
        <f>'Scenario inputs'!E19</f>
        <v>2</v>
      </c>
      <c r="E9">
        <f>'Scenario inputs'!E19</f>
        <v>2</v>
      </c>
      <c r="F9">
        <f>'Scenario inputs'!E19</f>
        <v>2</v>
      </c>
      <c r="G9">
        <f>'Scenario inputs'!E19</f>
        <v>2</v>
      </c>
      <c r="H9">
        <f>'Scenario inputs'!E20</f>
        <v>2</v>
      </c>
      <c r="I9">
        <f>'Scenario inputs'!E20</f>
        <v>2</v>
      </c>
      <c r="J9">
        <f>'Scenario inputs'!E20</f>
        <v>2</v>
      </c>
      <c r="K9">
        <f>'Scenario inputs'!E20</f>
        <v>2</v>
      </c>
      <c r="L9">
        <f>'Scenario inputs'!E20</f>
        <v>2</v>
      </c>
    </row>
    <row r="10" spans="1:13" x14ac:dyDescent="0.35">
      <c r="A10" s="1" t="s">
        <v>150</v>
      </c>
      <c r="C10">
        <f t="shared" ref="C10:L10" si="3">(D4-C4)/C9</f>
        <v>26.12563290725268</v>
      </c>
      <c r="D10">
        <f t="shared" si="3"/>
        <v>28.209751059327573</v>
      </c>
      <c r="E10">
        <f t="shared" si="3"/>
        <v>30.460125412246555</v>
      </c>
      <c r="F10">
        <f t="shared" si="3"/>
        <v>32.890018709435083</v>
      </c>
      <c r="G10">
        <f t="shared" si="3"/>
        <v>31.082114530252568</v>
      </c>
      <c r="H10">
        <f t="shared" si="3"/>
        <v>28.511169445749942</v>
      </c>
      <c r="I10">
        <f t="shared" si="3"/>
        <v>25.193091525065199</v>
      </c>
      <c r="J10">
        <f t="shared" si="3"/>
        <v>21.174807459782187</v>
      </c>
      <c r="K10">
        <f t="shared" si="3"/>
        <v>16.534401331473418</v>
      </c>
      <c r="L10">
        <f t="shared" si="3"/>
        <v>17.03043337141753</v>
      </c>
      <c r="M10">
        <f>IF(M3&gt;0,(M3/B17)*M8,0)</f>
        <v>26.312019558840124</v>
      </c>
    </row>
    <row r="11" spans="1:13" x14ac:dyDescent="0.35">
      <c r="A11" s="1" t="s">
        <v>151</v>
      </c>
      <c r="C11">
        <f t="shared" ref="C11:M11" si="4">C8-C10</f>
        <v>60.881033759413995</v>
      </c>
      <c r="D11">
        <f t="shared" si="4"/>
        <v>72.008293193050307</v>
      </c>
      <c r="E11">
        <f t="shared" si="4"/>
        <v>81.138018111575761</v>
      </c>
      <c r="F11">
        <f t="shared" si="4"/>
        <v>91.266112167773272</v>
      </c>
      <c r="G11">
        <f t="shared" si="4"/>
        <v>106.92539917710863</v>
      </c>
      <c r="H11">
        <f t="shared" si="4"/>
        <v>118.17926448075252</v>
      </c>
      <c r="I11">
        <f t="shared" si="4"/>
        <v>129.26922496659972</v>
      </c>
      <c r="J11">
        <f t="shared" si="4"/>
        <v>139.93665123137401</v>
      </c>
      <c r="K11">
        <f t="shared" si="4"/>
        <v>149.91190540535834</v>
      </c>
      <c r="L11">
        <f t="shared" si="4"/>
        <v>153.27390034275805</v>
      </c>
      <c r="M11">
        <f t="shared" si="4"/>
        <v>149.1014441667607</v>
      </c>
    </row>
    <row r="12" spans="1:13" x14ac:dyDescent="0.35">
      <c r="A12" s="1" t="s">
        <v>152</v>
      </c>
      <c r="C12">
        <f>'Scenario inputs'!E21</f>
        <v>6.5810140994131863E-2</v>
      </c>
      <c r="D12">
        <f>'Scenario inputs'!E21</f>
        <v>6.5810140994131863E-2</v>
      </c>
      <c r="E12">
        <f>'Scenario inputs'!E21</f>
        <v>6.5810140994131863E-2</v>
      </c>
      <c r="F12">
        <f>'Scenario inputs'!E21</f>
        <v>6.5810140994131863E-2</v>
      </c>
      <c r="G12">
        <f>'Scenario inputs'!E21</f>
        <v>6.5810140994131863E-2</v>
      </c>
      <c r="H12">
        <f>G12-(G12-M12)/5</f>
        <v>6.5810140994131863E-2</v>
      </c>
      <c r="I12">
        <f>H12-(G12-M12)/5</f>
        <v>6.5810140994131863E-2</v>
      </c>
      <c r="J12">
        <f>I12-(G12-M12)/5</f>
        <v>6.5810140994131863E-2</v>
      </c>
      <c r="K12">
        <f>J12-(G12-M12)/5</f>
        <v>6.5810140994131863E-2</v>
      </c>
      <c r="L12">
        <f>K12-(G12-M12)/5</f>
        <v>6.5810140994131863E-2</v>
      </c>
      <c r="M12">
        <f>'Scenario inputs'!E22</f>
        <v>6.5810140994131863E-2</v>
      </c>
    </row>
    <row r="13" spans="1:13" x14ac:dyDescent="0.35">
      <c r="A13" s="1" t="s">
        <v>153</v>
      </c>
      <c r="C13">
        <f>1/(1+C12)</f>
        <v>0.93825341075029778</v>
      </c>
      <c r="D13">
        <f t="shared" ref="D13:L13" si="5">C13*(1/(1+D12))</f>
        <v>0.88031946278456696</v>
      </c>
      <c r="E13">
        <f t="shared" si="5"/>
        <v>0.8259627385074898</v>
      </c>
      <c r="F13">
        <f t="shared" si="5"/>
        <v>0.77496235655730861</v>
      </c>
      <c r="G13">
        <f t="shared" si="5"/>
        <v>0.72711107424298316</v>
      </c>
      <c r="H13">
        <f t="shared" si="5"/>
        <v>0.68221444540279197</v>
      </c>
      <c r="I13">
        <f t="shared" si="5"/>
        <v>0.64009003026229239</v>
      </c>
      <c r="J13">
        <f t="shared" si="5"/>
        <v>0.60056665408085719</v>
      </c>
      <c r="K13">
        <f t="shared" si="5"/>
        <v>0.56348371157425847</v>
      </c>
      <c r="L13">
        <f t="shared" si="5"/>
        <v>0.52869051428678504</v>
      </c>
    </row>
    <row r="14" spans="1:13" x14ac:dyDescent="0.35">
      <c r="A14" s="1" t="s">
        <v>154</v>
      </c>
      <c r="C14">
        <f t="shared" ref="C14:L14" si="6">C11*C13</f>
        <v>57.121837574774204</v>
      </c>
      <c r="D14">
        <f t="shared" si="6"/>
        <v>63.390301979739633</v>
      </c>
      <c r="E14">
        <f t="shared" si="6"/>
        <v>67.016979636507415</v>
      </c>
      <c r="F14">
        <f t="shared" si="6"/>
        <v>70.727801359361237</v>
      </c>
      <c r="G14">
        <f t="shared" si="6"/>
        <v>77.746641859527244</v>
      </c>
      <c r="H14">
        <f t="shared" si="6"/>
        <v>80.623601375846448</v>
      </c>
      <c r="I14">
        <f t="shared" si="6"/>
        <v>82.743942120853902</v>
      </c>
      <c r="J14">
        <f t="shared" si="6"/>
        <v>84.041286413306153</v>
      </c>
      <c r="K14">
        <f t="shared" si="6"/>
        <v>84.472916866980455</v>
      </c>
      <c r="L14">
        <f t="shared" si="6"/>
        <v>81.0344571989542</v>
      </c>
    </row>
    <row r="15" spans="1:13" x14ac:dyDescent="0.35">
      <c r="A15" s="1" t="s">
        <v>155</v>
      </c>
      <c r="B15">
        <f>'Scenario inputs'!E4</f>
        <v>313.43700000000001</v>
      </c>
      <c r="C15">
        <f t="shared" ref="C15:L15" si="7">B15+C10</f>
        <v>339.56263290725269</v>
      </c>
      <c r="D15">
        <f t="shared" si="7"/>
        <v>367.77238396658026</v>
      </c>
      <c r="E15">
        <f t="shared" si="7"/>
        <v>398.23250937882682</v>
      </c>
      <c r="F15">
        <f t="shared" si="7"/>
        <v>431.1225280882619</v>
      </c>
      <c r="G15">
        <f t="shared" si="7"/>
        <v>462.20464261851447</v>
      </c>
      <c r="H15">
        <f t="shared" si="7"/>
        <v>490.71581206426441</v>
      </c>
      <c r="I15">
        <f t="shared" si="7"/>
        <v>515.90890358932961</v>
      </c>
      <c r="J15">
        <f t="shared" si="7"/>
        <v>537.0837110491118</v>
      </c>
      <c r="K15">
        <f t="shared" si="7"/>
        <v>553.61811238058522</v>
      </c>
      <c r="L15">
        <f t="shared" si="7"/>
        <v>570.64854575200275</v>
      </c>
    </row>
    <row r="16" spans="1:13" x14ac:dyDescent="0.35">
      <c r="A16" s="1" t="s">
        <v>156</v>
      </c>
      <c r="B16">
        <f>B8/B15</f>
        <v>0.26224166791625331</v>
      </c>
      <c r="C16">
        <f t="shared" ref="C16:L16" si="8">C8/B15</f>
        <v>0.27758901044441681</v>
      </c>
      <c r="D16">
        <f t="shared" si="8"/>
        <v>0.29513861226229565</v>
      </c>
      <c r="E16">
        <f t="shared" si="8"/>
        <v>0.30344351122884561</v>
      </c>
      <c r="F16">
        <f t="shared" si="8"/>
        <v>0.31176794448768191</v>
      </c>
      <c r="G16">
        <f t="shared" si="8"/>
        <v>0.32011204406165361</v>
      </c>
      <c r="H16">
        <f t="shared" si="8"/>
        <v>0.31737118237381051</v>
      </c>
      <c r="I16">
        <f t="shared" si="8"/>
        <v>0.31476938931700138</v>
      </c>
      <c r="J16">
        <f t="shared" si="8"/>
        <v>0.31228664124665517</v>
      </c>
      <c r="K16">
        <f t="shared" si="8"/>
        <v>0.30990756806179071</v>
      </c>
      <c r="L16">
        <f t="shared" si="8"/>
        <v>0.30762059604924874</v>
      </c>
    </row>
    <row r="17" spans="1:2" x14ac:dyDescent="0.35">
      <c r="A17" s="1" t="s">
        <v>157</v>
      </c>
      <c r="B17">
        <f>IF('Scenario inputs'!E23=1,'Scenario inputs'!E24,L12)</f>
        <v>0.2</v>
      </c>
    </row>
    <row r="18" spans="1:2" x14ac:dyDescent="0.35">
      <c r="A18" s="1" t="s">
        <v>158</v>
      </c>
      <c r="B18">
        <f>M11/(M12-M3)</f>
        <v>4163.6653759948513</v>
      </c>
    </row>
    <row r="19" spans="1:2" x14ac:dyDescent="0.35">
      <c r="A19" s="1" t="s">
        <v>159</v>
      </c>
      <c r="B19">
        <f>B18*L13</f>
        <v>2201.2903889527979</v>
      </c>
    </row>
    <row r="20" spans="1:2" x14ac:dyDescent="0.35">
      <c r="A20" s="1" t="s">
        <v>160</v>
      </c>
      <c r="B20">
        <f>SUM(C14:L14)</f>
        <v>748.91976638585095</v>
      </c>
    </row>
    <row r="21" spans="1:2" x14ac:dyDescent="0.35">
      <c r="A21" s="1" t="s">
        <v>161</v>
      </c>
      <c r="B21">
        <f>B19+B20</f>
        <v>2950.2101553386487</v>
      </c>
    </row>
    <row r="22" spans="1:2" x14ac:dyDescent="0.35">
      <c r="A22" s="1" t="s">
        <v>162</v>
      </c>
      <c r="B22">
        <f>'Scenario inputs'!E5</f>
        <v>86.995000000000005</v>
      </c>
    </row>
    <row r="23" spans="1:2" x14ac:dyDescent="0.35">
      <c r="A23" s="1" t="s">
        <v>163</v>
      </c>
      <c r="B23">
        <f>'Scenario inputs'!E6</f>
        <v>58.13</v>
      </c>
    </row>
    <row r="24" spans="1:2" x14ac:dyDescent="0.35">
      <c r="A24" s="1" t="s">
        <v>164</v>
      </c>
      <c r="B24">
        <f>'Scenario inputs'!E7</f>
        <v>0</v>
      </c>
    </row>
    <row r="25" spans="1:2" x14ac:dyDescent="0.35">
      <c r="A25" s="1" t="s">
        <v>165</v>
      </c>
      <c r="B25">
        <f>'Scenario inputs'!E8</f>
        <v>0</v>
      </c>
    </row>
    <row r="26" spans="1:2" x14ac:dyDescent="0.35">
      <c r="A26" s="1" t="s">
        <v>166</v>
      </c>
      <c r="B26">
        <f>B21-B22-B24+B23+B25</f>
        <v>2921.345155338649</v>
      </c>
    </row>
    <row r="27" spans="1:2" x14ac:dyDescent="0.35">
      <c r="A27" s="1" t="s">
        <v>167</v>
      </c>
      <c r="B27">
        <f>'Scenario inputs'!E9</f>
        <v>0</v>
      </c>
    </row>
    <row r="28" spans="1:2" x14ac:dyDescent="0.35">
      <c r="A28" s="1" t="s">
        <v>168</v>
      </c>
      <c r="B28">
        <f>B26-B27</f>
        <v>2921.345155338649</v>
      </c>
    </row>
    <row r="29" spans="1:2" x14ac:dyDescent="0.35">
      <c r="A29" s="1" t="s">
        <v>169</v>
      </c>
      <c r="B29">
        <f>'Scenario inputs'!E10</f>
        <v>13.633262999999999</v>
      </c>
    </row>
    <row r="30" spans="1:2" x14ac:dyDescent="0.35">
      <c r="A30" s="1" t="s">
        <v>170</v>
      </c>
      <c r="B30">
        <f>B28/B29</f>
        <v>214.28070120400736</v>
      </c>
    </row>
    <row r="31" spans="1:2" x14ac:dyDescent="0.35">
      <c r="A31" s="1" t="s">
        <v>171</v>
      </c>
      <c r="B31">
        <f>B19/B21</f>
        <v>0.74614697701090249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Original'!C8</f>
        <v>86.640111017357782</v>
      </c>
      <c r="D2">
        <f>'DCF Original'!D8</f>
        <v>90.972116568225687</v>
      </c>
      <c r="E2">
        <f>'DCF Original'!E8</f>
        <v>95.520722396636984</v>
      </c>
      <c r="F2">
        <f>'DCF Original'!F8</f>
        <v>100.29675851646884</v>
      </c>
      <c r="G2">
        <f>'DCF Original'!G8</f>
        <v>105.31159644229228</v>
      </c>
      <c r="H2">
        <f>'DCF Original'!H8</f>
        <v>109.25848766985877</v>
      </c>
      <c r="I2">
        <f>'DCF Original'!I8</f>
        <v>112.805011339823</v>
      </c>
      <c r="J2">
        <f>'DCF Original'!J8</f>
        <v>115.90053734559763</v>
      </c>
      <c r="K2">
        <f>'DCF Original'!K8</f>
        <v>118.49932459311282</v>
      </c>
      <c r="L2">
        <f>'DCF Original'!L8</f>
        <v>120.56162311326656</v>
      </c>
    </row>
    <row r="3" spans="1:12" x14ac:dyDescent="0.35">
      <c r="A3" s="1" t="s">
        <v>173</v>
      </c>
      <c r="C3">
        <f>'DCF Original'!B15</f>
        <v>313.43700000000001</v>
      </c>
      <c r="D3">
        <f>'DCF Original'!C15</f>
        <v>329.71160625000005</v>
      </c>
      <c r="E3">
        <f>'DCF Original'!D15</f>
        <v>346.79994281250009</v>
      </c>
      <c r="F3">
        <f>'DCF Original'!E15</f>
        <v>364.74269620312509</v>
      </c>
      <c r="G3">
        <f>'DCF Original'!F15</f>
        <v>383.58258726328137</v>
      </c>
      <c r="H3">
        <f>'DCF Original'!G15</f>
        <v>401.38628431512899</v>
      </c>
      <c r="I3">
        <f>'DCF Original'!H15</f>
        <v>417.92394068773416</v>
      </c>
      <c r="J3">
        <f>'DCF Original'!I15</f>
        <v>432.97320798680482</v>
      </c>
      <c r="K3">
        <f>'DCF Original'!J15</f>
        <v>446.32405797640899</v>
      </c>
      <c r="L3">
        <f>'DCF Original'!K15</f>
        <v>457.78353755081918</v>
      </c>
    </row>
    <row r="4" spans="1:12" x14ac:dyDescent="0.35">
      <c r="A4" s="1" t="s">
        <v>152</v>
      </c>
      <c r="C4">
        <f>'DCF Original'!C12</f>
        <v>0.09</v>
      </c>
      <c r="D4">
        <f>'DCF Original'!D12</f>
        <v>0.09</v>
      </c>
      <c r="E4">
        <f>'DCF Original'!E12</f>
        <v>0.09</v>
      </c>
      <c r="F4">
        <f>'DCF Original'!F12</f>
        <v>0.09</v>
      </c>
      <c r="G4">
        <f>'DCF Original'!G12</f>
        <v>0.09</v>
      </c>
      <c r="H4">
        <f>'DCF Original'!H12</f>
        <v>8.7999999999999995E-2</v>
      </c>
      <c r="I4">
        <f>'DCF Original'!I12</f>
        <v>8.5999999999999993E-2</v>
      </c>
      <c r="J4">
        <f>'DCF Original'!J12</f>
        <v>8.3999999999999991E-2</v>
      </c>
      <c r="K4">
        <f>'DCF Original'!K12</f>
        <v>8.199999999999999E-2</v>
      </c>
      <c r="L4">
        <f>'DCF Original'!L12</f>
        <v>7.9999999999999988E-2</v>
      </c>
    </row>
    <row r="5" spans="1:12" x14ac:dyDescent="0.35">
      <c r="A5" s="1" t="s">
        <v>174</v>
      </c>
      <c r="C5">
        <f t="shared" ref="C5:L5" si="0">C4*C3</f>
        <v>28.209330000000001</v>
      </c>
      <c r="D5">
        <f t="shared" si="0"/>
        <v>29.674044562500004</v>
      </c>
      <c r="E5">
        <f t="shared" si="0"/>
        <v>31.211994853125006</v>
      </c>
      <c r="F5">
        <f t="shared" si="0"/>
        <v>32.826842658281258</v>
      </c>
      <c r="G5">
        <f t="shared" si="0"/>
        <v>34.522432853695321</v>
      </c>
      <c r="H5">
        <f t="shared" si="0"/>
        <v>35.321993019731352</v>
      </c>
      <c r="I5">
        <f t="shared" si="0"/>
        <v>35.941458899145132</v>
      </c>
      <c r="J5">
        <f t="shared" si="0"/>
        <v>36.369749470891598</v>
      </c>
      <c r="K5">
        <f t="shared" si="0"/>
        <v>36.598572754065536</v>
      </c>
      <c r="L5">
        <f t="shared" si="0"/>
        <v>36.622683004065529</v>
      </c>
    </row>
    <row r="6" spans="1:12" x14ac:dyDescent="0.35">
      <c r="A6" s="1" t="s">
        <v>175</v>
      </c>
      <c r="C6">
        <f t="shared" ref="C6:L6" si="1">C2-C5</f>
        <v>58.430781017357781</v>
      </c>
      <c r="D6">
        <f t="shared" si="1"/>
        <v>61.298072005725686</v>
      </c>
      <c r="E6">
        <f t="shared" si="1"/>
        <v>64.308727543511978</v>
      </c>
      <c r="F6">
        <f t="shared" si="1"/>
        <v>67.469915858187591</v>
      </c>
      <c r="G6">
        <f t="shared" si="1"/>
        <v>70.789163588596963</v>
      </c>
      <c r="H6">
        <f t="shared" si="1"/>
        <v>73.936494650127415</v>
      </c>
      <c r="I6">
        <f t="shared" si="1"/>
        <v>76.863552440677864</v>
      </c>
      <c r="J6">
        <f t="shared" si="1"/>
        <v>79.530787874706022</v>
      </c>
      <c r="K6">
        <f t="shared" si="1"/>
        <v>81.900751839047274</v>
      </c>
      <c r="L6">
        <f t="shared" si="1"/>
        <v>83.938940109201042</v>
      </c>
    </row>
    <row r="7" spans="1:12" x14ac:dyDescent="0.35">
      <c r="A7" s="1" t="s">
        <v>153</v>
      </c>
      <c r="C7">
        <f>'DCF Original'!C13</f>
        <v>0.9174311926605504</v>
      </c>
      <c r="D7">
        <f>'DCF Original'!D13</f>
        <v>0.84167999326655996</v>
      </c>
      <c r="E7">
        <f>'DCF Original'!E13</f>
        <v>0.77218348006106408</v>
      </c>
      <c r="F7">
        <f>'DCF Original'!F13</f>
        <v>0.7084252110651964</v>
      </c>
      <c r="G7">
        <f>'DCF Original'!G13</f>
        <v>0.64993138629834524</v>
      </c>
      <c r="H7">
        <f>'DCF Original'!H13</f>
        <v>0.59736340652421438</v>
      </c>
      <c r="I7">
        <f>'DCF Original'!I13</f>
        <v>0.55005838538141283</v>
      </c>
      <c r="J7">
        <f>'DCF Original'!J13</f>
        <v>0.50743393485370181</v>
      </c>
      <c r="K7">
        <f>'DCF Original'!K13</f>
        <v>0.46897775864482605</v>
      </c>
      <c r="L7">
        <f>'DCF Original'!L13</f>
        <v>0.43423866541187595</v>
      </c>
    </row>
    <row r="8" spans="1:12" x14ac:dyDescent="0.35">
      <c r="A8" s="1" t="s">
        <v>176</v>
      </c>
      <c r="C8">
        <f t="shared" ref="C8:L8" si="2">C6*C7</f>
        <v>53.606221116841994</v>
      </c>
      <c r="D8">
        <f t="shared" si="2"/>
        <v>51.5933608330323</v>
      </c>
      <c r="E8">
        <f t="shared" si="2"/>
        <v>49.658137032847883</v>
      </c>
      <c r="F8">
        <f t="shared" si="2"/>
        <v>47.797389382387585</v>
      </c>
      <c r="G8">
        <f t="shared" si="2"/>
        <v>46.008099226037167</v>
      </c>
      <c r="H8">
        <f t="shared" si="2"/>
        <v>44.166956310659465</v>
      </c>
      <c r="I8">
        <f t="shared" si="2"/>
        <v>42.279441550198818</v>
      </c>
      <c r="J8">
        <f t="shared" si="2"/>
        <v>40.356620633277153</v>
      </c>
      <c r="K8">
        <f t="shared" si="2"/>
        <v>38.409631028802508</v>
      </c>
      <c r="L8">
        <f t="shared" si="2"/>
        <v>36.449533329106842</v>
      </c>
    </row>
    <row r="9" spans="1:12" x14ac:dyDescent="0.35">
      <c r="A9" s="1" t="s">
        <v>177</v>
      </c>
      <c r="B9">
        <f>'DCF Original'!B15</f>
        <v>313.43700000000001</v>
      </c>
    </row>
    <row r="10" spans="1:12" x14ac:dyDescent="0.35">
      <c r="A10" s="1" t="s">
        <v>178</v>
      </c>
      <c r="B10">
        <f>SUM(C8:L8)</f>
        <v>450.32539044319174</v>
      </c>
    </row>
    <row r="11" spans="1:12" x14ac:dyDescent="0.35">
      <c r="A11" s="1" t="s">
        <v>179</v>
      </c>
      <c r="B11">
        <f>'DCF Original'!M8</f>
        <v>123.57566369109821</v>
      </c>
    </row>
    <row r="12" spans="1:12" x14ac:dyDescent="0.35">
      <c r="A12" s="1" t="s">
        <v>180</v>
      </c>
      <c r="B12">
        <f>'DCF Original'!M12</f>
        <v>0.08</v>
      </c>
    </row>
    <row r="13" spans="1:12" x14ac:dyDescent="0.35">
      <c r="A13" s="1" t="s">
        <v>181</v>
      </c>
      <c r="B13">
        <f>'DCF Original'!M3</f>
        <v>2.5000000000000001E-2</v>
      </c>
    </row>
    <row r="14" spans="1:12" x14ac:dyDescent="0.35">
      <c r="A14" s="1" t="s">
        <v>157</v>
      </c>
      <c r="B14">
        <f>'DCF Original'!B17</f>
        <v>7.9999999999999988E-2</v>
      </c>
    </row>
    <row r="15" spans="1:12" x14ac:dyDescent="0.35">
      <c r="A15" s="1" t="s">
        <v>182</v>
      </c>
      <c r="B15">
        <f>'DCF Original'!L15</f>
        <v>469.5295041145896</v>
      </c>
    </row>
    <row r="16" spans="1:12" x14ac:dyDescent="0.35">
      <c r="A16" s="1" t="s">
        <v>183</v>
      </c>
      <c r="B16">
        <f>B11-B12*B15</f>
        <v>86.013303361931037</v>
      </c>
    </row>
    <row r="17" spans="1:2" x14ac:dyDescent="0.35">
      <c r="A17" s="1" t="s">
        <v>184</v>
      </c>
      <c r="B17">
        <f>B11*(B13/B14)*(B14-B12)/(B12*(B12-B13))</f>
        <v>-1.2180091185475161E-13</v>
      </c>
    </row>
    <row r="18" spans="1:2" x14ac:dyDescent="0.35">
      <c r="A18" s="1" t="s">
        <v>185</v>
      </c>
      <c r="B18">
        <f>B16/B12+B17</f>
        <v>1075.1662920241376</v>
      </c>
    </row>
    <row r="19" spans="1:2" x14ac:dyDescent="0.35">
      <c r="A19" s="1" t="s">
        <v>186</v>
      </c>
      <c r="B19">
        <f>B18*L7</f>
        <v>466.87877574439682</v>
      </c>
    </row>
    <row r="20" spans="1:2" x14ac:dyDescent="0.35">
      <c r="A20" s="1" t="s">
        <v>187</v>
      </c>
      <c r="B20">
        <f>B9+B10+B19</f>
        <v>1230.6411661875886</v>
      </c>
    </row>
    <row r="21" spans="1:2" x14ac:dyDescent="0.35">
      <c r="A21" s="1" t="s">
        <v>188</v>
      </c>
      <c r="B21">
        <f>'DCF Original'!B21</f>
        <v>1230.6411661875886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Bear'!C8</f>
        <v>80.528999999999996</v>
      </c>
      <c r="D2">
        <f>'DCF Bear'!D8</f>
        <v>83.143410149889149</v>
      </c>
      <c r="E2">
        <f>'DCF Bear'!E8</f>
        <v>85.842698299403821</v>
      </c>
      <c r="F2">
        <f>'DCF Bear'!F8</f>
        <v>88.629620050919854</v>
      </c>
      <c r="G2">
        <f>'DCF Bear'!G8</f>
        <v>91.507020468681688</v>
      </c>
      <c r="H2">
        <f>'DCF Bear'!H8</f>
        <v>93.88009508861164</v>
      </c>
      <c r="I2">
        <f>'DCF Bear'!I8</f>
        <v>96.080088323050305</v>
      </c>
      <c r="J2">
        <f>'DCF Bear'!J8</f>
        <v>98.091510643029068</v>
      </c>
      <c r="K2">
        <f>'DCF Bear'!K8</f>
        <v>99.899884295183284</v>
      </c>
      <c r="L2">
        <f>'DCF Bear'!L8</f>
        <v>101.49191432379178</v>
      </c>
    </row>
    <row r="3" spans="1:12" x14ac:dyDescent="0.35">
      <c r="A3" s="1" t="s">
        <v>173</v>
      </c>
      <c r="C3">
        <f>'DCF Bear'!B15</f>
        <v>313.43700000000001</v>
      </c>
      <c r="D3">
        <f>'DCF Bear'!C15</f>
        <v>323.66361646382154</v>
      </c>
      <c r="E3">
        <f>'DCF Bear'!D15</f>
        <v>334.22224462382752</v>
      </c>
      <c r="F3">
        <f>'DCF Bear'!E15</f>
        <v>345.12366338883822</v>
      </c>
      <c r="G3">
        <f>'DCF Bear'!F15</f>
        <v>356.37900160978944</v>
      </c>
      <c r="H3">
        <f>'DCF Bear'!G15</f>
        <v>367.10736788100547</v>
      </c>
      <c r="I3">
        <f>'DCF Bear'!H15</f>
        <v>377.23816026004408</v>
      </c>
      <c r="J3">
        <f>'DCF Bear'!I15</f>
        <v>386.70295409685355</v>
      </c>
      <c r="K3">
        <f>'DCF Bear'!J15</f>
        <v>395.43625507574177</v>
      </c>
      <c r="L3">
        <f>'DCF Bear'!K15</f>
        <v>403.37624017725659</v>
      </c>
    </row>
    <row r="4" spans="1:12" x14ac:dyDescent="0.35">
      <c r="A4" s="1" t="s">
        <v>152</v>
      </c>
      <c r="C4">
        <f>'DCF Bear'!C12</f>
        <v>8.6579251013891551E-2</v>
      </c>
      <c r="D4">
        <f>'DCF Bear'!D12</f>
        <v>8.6579251013891551E-2</v>
      </c>
      <c r="E4">
        <f>'DCF Bear'!E12</f>
        <v>8.6579251013891551E-2</v>
      </c>
      <c r="F4">
        <f>'DCF Bear'!F12</f>
        <v>8.6579251013891551E-2</v>
      </c>
      <c r="G4">
        <f>'DCF Bear'!G12</f>
        <v>8.6579251013891551E-2</v>
      </c>
      <c r="H4">
        <f>'DCF Bear'!H12</f>
        <v>8.8159012331885889E-2</v>
      </c>
      <c r="I4">
        <f>'DCF Bear'!I12</f>
        <v>8.9738773649880227E-2</v>
      </c>
      <c r="J4">
        <f>'DCF Bear'!J12</f>
        <v>9.1318534967874565E-2</v>
      </c>
      <c r="K4">
        <f>'DCF Bear'!K12</f>
        <v>9.2898296285868903E-2</v>
      </c>
      <c r="L4">
        <f>'DCF Bear'!L12</f>
        <v>9.4478057603863241E-2</v>
      </c>
    </row>
    <row r="5" spans="1:12" x14ac:dyDescent="0.35">
      <c r="A5" s="1" t="s">
        <v>174</v>
      </c>
      <c r="C5">
        <f t="shared" ref="C5:L5" si="0">C4*C3</f>
        <v>27.137140700041126</v>
      </c>
      <c r="D5">
        <f t="shared" si="0"/>
        <v>28.022553493885127</v>
      </c>
      <c r="E5">
        <f t="shared" si="0"/>
        <v>28.936711611712628</v>
      </c>
      <c r="F5">
        <f t="shared" si="0"/>
        <v>29.880548283376037</v>
      </c>
      <c r="G5">
        <f t="shared" si="0"/>
        <v>30.855027036454022</v>
      </c>
      <c r="H5">
        <f t="shared" si="0"/>
        <v>32.36382297214773</v>
      </c>
      <c r="I5">
        <f t="shared" si="0"/>
        <v>33.852889875673341</v>
      </c>
      <c r="J5">
        <f t="shared" si="0"/>
        <v>35.313147235873913</v>
      </c>
      <c r="K5">
        <f t="shared" si="0"/>
        <v>36.73535438620069</v>
      </c>
      <c r="L5">
        <f t="shared" si="0"/>
        <v>38.110203655496619</v>
      </c>
    </row>
    <row r="6" spans="1:12" x14ac:dyDescent="0.35">
      <c r="A6" s="1" t="s">
        <v>175</v>
      </c>
      <c r="C6">
        <f t="shared" ref="C6:L6" si="1">C2-C5</f>
        <v>53.391859299958867</v>
      </c>
      <c r="D6">
        <f t="shared" si="1"/>
        <v>55.120856656004023</v>
      </c>
      <c r="E6">
        <f t="shared" si="1"/>
        <v>56.905986687691197</v>
      </c>
      <c r="F6">
        <f t="shared" si="1"/>
        <v>58.749071767543818</v>
      </c>
      <c r="G6">
        <f t="shared" si="1"/>
        <v>60.65199343222767</v>
      </c>
      <c r="H6">
        <f t="shared" si="1"/>
        <v>61.516272116463909</v>
      </c>
      <c r="I6">
        <f t="shared" si="1"/>
        <v>62.227198447376963</v>
      </c>
      <c r="J6">
        <f t="shared" si="1"/>
        <v>62.778363407155155</v>
      </c>
      <c r="K6">
        <f t="shared" si="1"/>
        <v>63.164529908982594</v>
      </c>
      <c r="L6">
        <f t="shared" si="1"/>
        <v>63.381710668295156</v>
      </c>
    </row>
    <row r="7" spans="1:12" x14ac:dyDescent="0.35">
      <c r="A7" s="1" t="s">
        <v>153</v>
      </c>
      <c r="C7">
        <f>'DCF Bear'!C13</f>
        <v>0.92031943281347939</v>
      </c>
      <c r="D7">
        <f>'DCF Bear'!D13</f>
        <v>0.84698785841412438</v>
      </c>
      <c r="E7">
        <f>'DCF Bear'!E13</f>
        <v>0.7794993854555905</v>
      </c>
      <c r="F7">
        <f>'DCF Bear'!F13</f>
        <v>0.71738843230094484</v>
      </c>
      <c r="G7">
        <f>'DCF Bear'!G13</f>
        <v>0.66022651512215669</v>
      </c>
      <c r="H7">
        <f>'DCF Bear'!H13</f>
        <v>0.60673716583692572</v>
      </c>
      <c r="I7">
        <f>'DCF Bear'!I13</f>
        <v>0.55677303635326358</v>
      </c>
      <c r="J7">
        <f>'DCF Bear'!J13</f>
        <v>0.51018379924212809</v>
      </c>
      <c r="K7">
        <f>'DCF Bear'!K13</f>
        <v>0.46681727016681113</v>
      </c>
      <c r="L7">
        <f>'DCF Bear'!L13</f>
        <v>0.42652044682267309</v>
      </c>
    </row>
    <row r="8" spans="1:12" x14ac:dyDescent="0.35">
      <c r="A8" s="1" t="s">
        <v>176</v>
      </c>
      <c r="C8">
        <f t="shared" ref="C8:L8" si="2">C6*C7</f>
        <v>49.137565667795236</v>
      </c>
      <c r="D8">
        <f t="shared" si="2"/>
        <v>46.686696333020784</v>
      </c>
      <c r="E8">
        <f t="shared" si="2"/>
        <v>44.358181651799299</v>
      </c>
      <c r="F8">
        <f t="shared" si="2"/>
        <v>42.145904494453958</v>
      </c>
      <c r="G8">
        <f t="shared" si="2"/>
        <v>40.044054258971613</v>
      </c>
      <c r="H8">
        <f t="shared" si="2"/>
        <v>37.32420859679641</v>
      </c>
      <c r="I8">
        <f t="shared" si="2"/>
        <v>34.646426223303159</v>
      </c>
      <c r="J8">
        <f t="shared" si="2"/>
        <v>32.028503953265407</v>
      </c>
      <c r="K8">
        <f t="shared" si="2"/>
        <v>29.48629342348115</v>
      </c>
      <c r="L8">
        <f t="shared" si="2"/>
        <v>27.033595554626636</v>
      </c>
    </row>
    <row r="9" spans="1:12" x14ac:dyDescent="0.35">
      <c r="A9" s="1" t="s">
        <v>177</v>
      </c>
      <c r="B9">
        <f>'DCF Bear'!B15</f>
        <v>313.43700000000001</v>
      </c>
    </row>
    <row r="10" spans="1:12" x14ac:dyDescent="0.35">
      <c r="A10" s="1" t="s">
        <v>178</v>
      </c>
      <c r="B10">
        <f>SUM(C8:L8)</f>
        <v>382.89143015751358</v>
      </c>
    </row>
    <row r="11" spans="1:12" x14ac:dyDescent="0.35">
      <c r="A11" s="1" t="s">
        <v>179</v>
      </c>
      <c r="B11">
        <f>'DCF Bear'!M8</f>
        <v>103.52175261026761</v>
      </c>
    </row>
    <row r="12" spans="1:12" x14ac:dyDescent="0.35">
      <c r="A12" s="1" t="s">
        <v>180</v>
      </c>
      <c r="B12">
        <f>'DCF Bear'!M12</f>
        <v>9.4478057603863227E-2</v>
      </c>
    </row>
    <row r="13" spans="1:12" x14ac:dyDescent="0.35">
      <c r="A13" s="1" t="s">
        <v>181</v>
      </c>
      <c r="B13">
        <f>'DCF Bear'!M3</f>
        <v>0.02</v>
      </c>
    </row>
    <row r="14" spans="1:12" x14ac:dyDescent="0.35">
      <c r="A14" s="1" t="s">
        <v>157</v>
      </c>
      <c r="B14">
        <f>'DCF Bear'!B17</f>
        <v>9.4478057603863241E-2</v>
      </c>
    </row>
    <row r="15" spans="1:12" x14ac:dyDescent="0.35">
      <c r="A15" s="1" t="s">
        <v>182</v>
      </c>
      <c r="B15">
        <f>'DCF Bear'!L15</f>
        <v>411.47502498080172</v>
      </c>
    </row>
    <row r="16" spans="1:12" x14ac:dyDescent="0.35">
      <c r="A16" s="1" t="s">
        <v>183</v>
      </c>
      <c r="B16">
        <f>B11-B12*B15</f>
        <v>64.646391497580368</v>
      </c>
    </row>
    <row r="17" spans="1:2" x14ac:dyDescent="0.35">
      <c r="A17" s="1" t="s">
        <v>184</v>
      </c>
      <c r="B17">
        <f>B11*(B13/B14)*(B14-B12)/(B12*(B12-B13))</f>
        <v>4.3220680539997398E-14</v>
      </c>
    </row>
    <row r="18" spans="1:2" x14ac:dyDescent="0.35">
      <c r="A18" s="1" t="s">
        <v>185</v>
      </c>
      <c r="B18">
        <f>B16/B12+B17</f>
        <v>684.24767757859752</v>
      </c>
    </row>
    <row r="19" spans="1:2" x14ac:dyDescent="0.35">
      <c r="A19" s="1" t="s">
        <v>186</v>
      </c>
      <c r="B19">
        <f>B18*L7</f>
        <v>291.84562517819978</v>
      </c>
    </row>
    <row r="20" spans="1:2" x14ac:dyDescent="0.35">
      <c r="A20" s="1" t="s">
        <v>187</v>
      </c>
      <c r="B20">
        <f>B9+B10+B19</f>
        <v>988.17405533571332</v>
      </c>
    </row>
    <row r="21" spans="1:2" x14ac:dyDescent="0.35">
      <c r="A21" s="1" t="s">
        <v>188</v>
      </c>
      <c r="B21">
        <f>'DCF Bear'!B21</f>
        <v>988.17405533571321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Base'!C8</f>
        <v>83.750333333333316</v>
      </c>
      <c r="D2">
        <f>'DCF Base'!D8</f>
        <v>90.859197521577528</v>
      </c>
      <c r="E2">
        <f>'DCF Base'!E8</f>
        <v>97.324608676499821</v>
      </c>
      <c r="F2">
        <f>'DCF Base'!F8</f>
        <v>104.23458785453093</v>
      </c>
      <c r="G2">
        <f>'DCF Base'!G8</f>
        <v>111.61896871552352</v>
      </c>
      <c r="H2">
        <f>'DCF Base'!H8</f>
        <v>116.75514220308099</v>
      </c>
      <c r="I2">
        <f>'DCF Base'!I8</f>
        <v>121.35551855576844</v>
      </c>
      <c r="J2">
        <f>'DCF Base'!J8</f>
        <v>125.3346030962562</v>
      </c>
      <c r="K2">
        <f>'DCF Base'!K8</f>
        <v>128.6152943813496</v>
      </c>
      <c r="L2">
        <f>'DCF Base'!L8</f>
        <v>131.13130975552056</v>
      </c>
    </row>
    <row r="3" spans="1:12" x14ac:dyDescent="0.35">
      <c r="A3" s="1" t="s">
        <v>173</v>
      </c>
      <c r="C3">
        <f>'DCF Base'!B15</f>
        <v>313.43700000000001</v>
      </c>
      <c r="D3">
        <f>'DCF Base'!C15</f>
        <v>332.1006047323267</v>
      </c>
      <c r="E3">
        <f>'DCF Base'!D15</f>
        <v>351.84850562529004</v>
      </c>
      <c r="F3">
        <f>'DCF Base'!E15</f>
        <v>372.74369684217379</v>
      </c>
      <c r="G3">
        <f>'DCF Base'!F15</f>
        <v>394.85283230708342</v>
      </c>
      <c r="H3">
        <f>'DCF Base'!G15</f>
        <v>415.5810462832934</v>
      </c>
      <c r="I3">
        <f>'DCF Base'!H15</f>
        <v>434.57369639752272</v>
      </c>
      <c r="J3">
        <f>'DCF Base'!I15</f>
        <v>451.49000167200313</v>
      </c>
      <c r="K3">
        <f>'DCF Base'!J15</f>
        <v>466.01287084198941</v>
      </c>
      <c r="L3">
        <f>'DCF Base'!K15</f>
        <v>477.85851761303911</v>
      </c>
    </row>
    <row r="4" spans="1:12" x14ac:dyDescent="0.35">
      <c r="A4" s="1" t="s">
        <v>152</v>
      </c>
      <c r="C4">
        <f>'DCF Base'!C12</f>
        <v>7.4013719318297547E-2</v>
      </c>
      <c r="D4">
        <f>'DCF Base'!D12</f>
        <v>7.4013719318297547E-2</v>
      </c>
      <c r="E4">
        <f>'DCF Base'!E12</f>
        <v>7.4013719318297547E-2</v>
      </c>
      <c r="F4">
        <f>'DCF Base'!F12</f>
        <v>7.4013719318297547E-2</v>
      </c>
      <c r="G4">
        <f>'DCF Base'!G12</f>
        <v>7.4013719318297547E-2</v>
      </c>
      <c r="H4">
        <f>'DCF Base'!H12</f>
        <v>7.4013719318297547E-2</v>
      </c>
      <c r="I4">
        <f>'DCF Base'!I12</f>
        <v>7.4013719318297547E-2</v>
      </c>
      <c r="J4">
        <f>'DCF Base'!J12</f>
        <v>7.4013719318297547E-2</v>
      </c>
      <c r="K4">
        <f>'DCF Base'!K12</f>
        <v>7.4013719318297547E-2</v>
      </c>
      <c r="L4">
        <f>'DCF Base'!L12</f>
        <v>7.4013719318297547E-2</v>
      </c>
    </row>
    <row r="5" spans="1:12" x14ac:dyDescent="0.35">
      <c r="A5" s="1" t="s">
        <v>174</v>
      </c>
      <c r="C5">
        <f t="shared" ref="C5:L5" si="0">C4*C3</f>
        <v>23.19863814196923</v>
      </c>
      <c r="D5">
        <f t="shared" si="0"/>
        <v>24.580000944095307</v>
      </c>
      <c r="E5">
        <f t="shared" si="0"/>
        <v>26.041616537912653</v>
      </c>
      <c r="F5">
        <f t="shared" si="0"/>
        <v>27.588147355741242</v>
      </c>
      <c r="G5">
        <f t="shared" si="0"/>
        <v>29.224526702411282</v>
      </c>
      <c r="H5">
        <f t="shared" si="0"/>
        <v>30.758698913616101</v>
      </c>
      <c r="I5">
        <f t="shared" si="0"/>
        <v>32.164415588281301</v>
      </c>
      <c r="J5">
        <f t="shared" si="0"/>
        <v>33.416454258769328</v>
      </c>
      <c r="K5">
        <f t="shared" si="0"/>
        <v>34.491345821213052</v>
      </c>
      <c r="L5">
        <f t="shared" si="0"/>
        <v>35.368086196469221</v>
      </c>
    </row>
    <row r="6" spans="1:12" x14ac:dyDescent="0.35">
      <c r="A6" s="1" t="s">
        <v>175</v>
      </c>
      <c r="C6">
        <f t="shared" ref="C6:L6" si="1">C2-C5</f>
        <v>60.55169519136409</v>
      </c>
      <c r="D6">
        <f t="shared" si="1"/>
        <v>66.279196577482224</v>
      </c>
      <c r="E6">
        <f t="shared" si="1"/>
        <v>71.282992138587161</v>
      </c>
      <c r="F6">
        <f t="shared" si="1"/>
        <v>76.646440498789687</v>
      </c>
      <c r="G6">
        <f t="shared" si="1"/>
        <v>82.39444201311224</v>
      </c>
      <c r="H6">
        <f t="shared" si="1"/>
        <v>85.996443289464892</v>
      </c>
      <c r="I6">
        <f t="shared" si="1"/>
        <v>89.19110296748714</v>
      </c>
      <c r="J6">
        <f t="shared" si="1"/>
        <v>91.918148837486882</v>
      </c>
      <c r="K6">
        <f t="shared" si="1"/>
        <v>94.12394856013654</v>
      </c>
      <c r="L6">
        <f t="shared" si="1"/>
        <v>95.76322355905134</v>
      </c>
    </row>
    <row r="7" spans="1:12" x14ac:dyDescent="0.35">
      <c r="A7" s="1" t="s">
        <v>153</v>
      </c>
      <c r="C7">
        <f>'DCF Base'!C13</f>
        <v>0.9310868027223379</v>
      </c>
      <c r="D7">
        <f>'DCF Base'!D13</f>
        <v>0.86692263420370574</v>
      </c>
      <c r="E7">
        <f>'DCF Base'!E13</f>
        <v>0.80718022368835529</v>
      </c>
      <c r="F7">
        <f>'DCF Base'!F13</f>
        <v>0.75155485369469222</v>
      </c>
      <c r="G7">
        <f>'DCF Base'!G13</f>
        <v>0.69976280579704542</v>
      </c>
      <c r="H7">
        <f>'DCF Base'!H13</f>
        <v>0.65153991351358331</v>
      </c>
      <c r="I7">
        <f>'DCF Base'!I13</f>
        <v>0.60664021491935083</v>
      </c>
      <c r="J7">
        <f>'DCF Base'!J13</f>
        <v>0.56483469811205023</v>
      </c>
      <c r="K7">
        <f>'DCF Base'!K13</f>
        <v>0.52591013313178581</v>
      </c>
      <c r="L7">
        <f>'DCF Base'!L13</f>
        <v>0.48966798437695352</v>
      </c>
    </row>
    <row r="8" spans="1:12" x14ac:dyDescent="0.35">
      <c r="A8" s="1" t="s">
        <v>176</v>
      </c>
      <c r="C8">
        <f t="shared" ref="C8:L8" si="2">C6*C7</f>
        <v>56.378884275144756</v>
      </c>
      <c r="D8">
        <f t="shared" si="2"/>
        <v>57.458935689856126</v>
      </c>
      <c r="E8">
        <f t="shared" si="2"/>
        <v>57.538221539600059</v>
      </c>
      <c r="F8">
        <f t="shared" si="2"/>
        <v>57.604004375286813</v>
      </c>
      <c r="G8">
        <f t="shared" si="2"/>
        <v>57.656565925177382</v>
      </c>
      <c r="H8">
        <f t="shared" si="2"/>
        <v>56.030115223293727</v>
      </c>
      <c r="I8">
        <f t="shared" si="2"/>
        <v>54.106909873090345</v>
      </c>
      <c r="J8">
        <f t="shared" si="2"/>
        <v>51.918559849640403</v>
      </c>
      <c r="K8">
        <f t="shared" si="2"/>
        <v>49.500738318150766</v>
      </c>
      <c r="L8">
        <f t="shared" si="2"/>
        <v>46.892184657600261</v>
      </c>
    </row>
    <row r="9" spans="1:12" x14ac:dyDescent="0.35">
      <c r="A9" s="1" t="s">
        <v>177</v>
      </c>
      <c r="B9">
        <f>'DCF Base'!B15</f>
        <v>313.43700000000001</v>
      </c>
    </row>
    <row r="10" spans="1:12" x14ac:dyDescent="0.35">
      <c r="A10" s="1" t="s">
        <v>178</v>
      </c>
      <c r="B10">
        <f>SUM(C8:L8)</f>
        <v>545.08511972684062</v>
      </c>
    </row>
    <row r="11" spans="1:12" x14ac:dyDescent="0.35">
      <c r="A11" s="1" t="s">
        <v>179</v>
      </c>
      <c r="B11">
        <f>'DCF Base'!M8</f>
        <v>134.40959249940855</v>
      </c>
    </row>
    <row r="12" spans="1:12" x14ac:dyDescent="0.35">
      <c r="A12" s="1" t="s">
        <v>180</v>
      </c>
      <c r="B12">
        <f>'DCF Base'!M12</f>
        <v>7.4013719318297547E-2</v>
      </c>
    </row>
    <row r="13" spans="1:12" x14ac:dyDescent="0.35">
      <c r="A13" s="1" t="s">
        <v>181</v>
      </c>
      <c r="B13">
        <f>'DCF Base'!M3</f>
        <v>2.5000000000000001E-2</v>
      </c>
    </row>
    <row r="14" spans="1:12" x14ac:dyDescent="0.35">
      <c r="A14" s="1" t="s">
        <v>157</v>
      </c>
      <c r="B14">
        <f>'DCF Base'!B17</f>
        <v>0.15</v>
      </c>
    </row>
    <row r="15" spans="1:12" x14ac:dyDescent="0.35">
      <c r="A15" s="1" t="s">
        <v>182</v>
      </c>
      <c r="B15">
        <f>'DCF Base'!L15</f>
        <v>490.00030555336502</v>
      </c>
    </row>
    <row r="16" spans="1:12" x14ac:dyDescent="0.35">
      <c r="A16" s="1" t="s">
        <v>183</v>
      </c>
      <c r="B16">
        <f>B11-B12*B15</f>
        <v>98.142847418301756</v>
      </c>
    </row>
    <row r="17" spans="1:2" x14ac:dyDescent="0.35">
      <c r="A17" s="1" t="s">
        <v>184</v>
      </c>
      <c r="B17">
        <f>B11*(B13/B14)*(B14-B12)/(B12*(B12-B13))</f>
        <v>469.22842532651202</v>
      </c>
    </row>
    <row r="18" spans="1:2" x14ac:dyDescent="0.35">
      <c r="A18" s="1" t="s">
        <v>185</v>
      </c>
      <c r="B18">
        <f>B16/B12+B17</f>
        <v>1795.2372831740199</v>
      </c>
    </row>
    <row r="19" spans="1:2" x14ac:dyDescent="0.35">
      <c r="A19" s="1" t="s">
        <v>186</v>
      </c>
      <c r="B19">
        <f>B18*L7</f>
        <v>879.07022193018042</v>
      </c>
    </row>
    <row r="20" spans="1:2" x14ac:dyDescent="0.35">
      <c r="A20" s="1" t="s">
        <v>187</v>
      </c>
      <c r="B20">
        <f>B9+B10+B19</f>
        <v>1737.5923416570211</v>
      </c>
    </row>
    <row r="21" spans="1:2" x14ac:dyDescent="0.35">
      <c r="A21" s="1" t="s">
        <v>188</v>
      </c>
      <c r="B21">
        <f>'DCF Base'!B21</f>
        <v>1737.5923416570213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Bull'!C8</f>
        <v>87.006666666666675</v>
      </c>
      <c r="D2">
        <f>'DCF Bull'!D8</f>
        <v>100.21804425237788</v>
      </c>
      <c r="E2">
        <f>'DCF Bull'!E8</f>
        <v>111.59814352382232</v>
      </c>
      <c r="F2">
        <f>'DCF Bull'!F8</f>
        <v>124.15613087720835</v>
      </c>
      <c r="G2">
        <f>'DCF Bull'!G8</f>
        <v>138.0075137073612</v>
      </c>
      <c r="H2">
        <f>'DCF Bull'!H8</f>
        <v>146.69043392650246</v>
      </c>
      <c r="I2">
        <f>'DCF Bull'!I8</f>
        <v>154.46231649166492</v>
      </c>
      <c r="J2">
        <f>'DCF Bull'!J8</f>
        <v>161.1114586911562</v>
      </c>
      <c r="K2">
        <f>'DCF Bull'!K8</f>
        <v>166.44630673683176</v>
      </c>
      <c r="L2">
        <f>'DCF Bull'!L8</f>
        <v>170.30433371417558</v>
      </c>
    </row>
    <row r="3" spans="1:12" x14ac:dyDescent="0.35">
      <c r="A3" s="1" t="s">
        <v>173</v>
      </c>
      <c r="C3">
        <f>'DCF Bull'!B15</f>
        <v>313.43700000000001</v>
      </c>
      <c r="D3">
        <f>'DCF Bull'!C15</f>
        <v>339.56263290725269</v>
      </c>
      <c r="E3">
        <f>'DCF Bull'!D15</f>
        <v>367.77238396658026</v>
      </c>
      <c r="F3">
        <f>'DCF Bull'!E15</f>
        <v>398.23250937882682</v>
      </c>
      <c r="G3">
        <f>'DCF Bull'!F15</f>
        <v>431.1225280882619</v>
      </c>
      <c r="H3">
        <f>'DCF Bull'!G15</f>
        <v>462.20464261851447</v>
      </c>
      <c r="I3">
        <f>'DCF Bull'!H15</f>
        <v>490.71581206426441</v>
      </c>
      <c r="J3">
        <f>'DCF Bull'!I15</f>
        <v>515.90890358932961</v>
      </c>
      <c r="K3">
        <f>'DCF Bull'!J15</f>
        <v>537.0837110491118</v>
      </c>
      <c r="L3">
        <f>'DCF Bull'!K15</f>
        <v>553.61811238058522</v>
      </c>
    </row>
    <row r="4" spans="1:12" x14ac:dyDescent="0.35">
      <c r="A4" s="1" t="s">
        <v>152</v>
      </c>
      <c r="C4">
        <f>'DCF Bull'!C12</f>
        <v>6.5810140994131863E-2</v>
      </c>
      <c r="D4">
        <f>'DCF Bull'!D12</f>
        <v>6.5810140994131863E-2</v>
      </c>
      <c r="E4">
        <f>'DCF Bull'!E12</f>
        <v>6.5810140994131863E-2</v>
      </c>
      <c r="F4">
        <f>'DCF Bull'!F12</f>
        <v>6.5810140994131863E-2</v>
      </c>
      <c r="G4">
        <f>'DCF Bull'!G12</f>
        <v>6.5810140994131863E-2</v>
      </c>
      <c r="H4">
        <f>'DCF Bull'!H12</f>
        <v>6.5810140994131863E-2</v>
      </c>
      <c r="I4">
        <f>'DCF Bull'!I12</f>
        <v>6.5810140994131863E-2</v>
      </c>
      <c r="J4">
        <f>'DCF Bull'!J12</f>
        <v>6.5810140994131863E-2</v>
      </c>
      <c r="K4">
        <f>'DCF Bull'!K12</f>
        <v>6.5810140994131863E-2</v>
      </c>
      <c r="L4">
        <f>'DCF Bull'!L12</f>
        <v>6.5810140994131863E-2</v>
      </c>
    </row>
    <row r="5" spans="1:12" x14ac:dyDescent="0.35">
      <c r="A5" s="1" t="s">
        <v>174</v>
      </c>
      <c r="C5">
        <f t="shared" ref="C5:L5" si="0">C4*C3</f>
        <v>20.62733316277771</v>
      </c>
      <c r="D5">
        <f t="shared" si="0"/>
        <v>22.34666474796494</v>
      </c>
      <c r="E5">
        <f t="shared" si="0"/>
        <v>24.20315244258865</v>
      </c>
      <c r="F5">
        <f t="shared" si="0"/>
        <v>26.207737590667534</v>
      </c>
      <c r="G5">
        <f t="shared" si="0"/>
        <v>28.37223435923509</v>
      </c>
      <c r="H5">
        <f t="shared" si="0"/>
        <v>30.417752698866767</v>
      </c>
      <c r="I5">
        <f t="shared" si="0"/>
        <v>32.294076779999152</v>
      </c>
      <c r="J5">
        <f t="shared" si="0"/>
        <v>33.952037685341764</v>
      </c>
      <c r="K5">
        <f t="shared" si="0"/>
        <v>35.345554749793628</v>
      </c>
      <c r="L5">
        <f t="shared" si="0"/>
        <v>36.433686032671453</v>
      </c>
    </row>
    <row r="6" spans="1:12" x14ac:dyDescent="0.35">
      <c r="A6" s="1" t="s">
        <v>175</v>
      </c>
      <c r="C6">
        <f t="shared" ref="C6:L6" si="1">C2-C5</f>
        <v>66.379333503888972</v>
      </c>
      <c r="D6">
        <f t="shared" si="1"/>
        <v>77.871379504412943</v>
      </c>
      <c r="E6">
        <f t="shared" si="1"/>
        <v>87.39499108123367</v>
      </c>
      <c r="F6">
        <f t="shared" si="1"/>
        <v>97.948393286540821</v>
      </c>
      <c r="G6">
        <f t="shared" si="1"/>
        <v>109.6352793481261</v>
      </c>
      <c r="H6">
        <f t="shared" si="1"/>
        <v>116.2726812276357</v>
      </c>
      <c r="I6">
        <f t="shared" si="1"/>
        <v>122.16823971166576</v>
      </c>
      <c r="J6">
        <f t="shared" si="1"/>
        <v>127.15942100581444</v>
      </c>
      <c r="K6">
        <f t="shared" si="1"/>
        <v>131.10075198703814</v>
      </c>
      <c r="L6">
        <f t="shared" si="1"/>
        <v>133.87064768150412</v>
      </c>
    </row>
    <row r="7" spans="1:12" x14ac:dyDescent="0.35">
      <c r="A7" s="1" t="s">
        <v>153</v>
      </c>
      <c r="C7">
        <f>'DCF Bull'!C13</f>
        <v>0.93825341075029778</v>
      </c>
      <c r="D7">
        <f>'DCF Bull'!D13</f>
        <v>0.88031946278456696</v>
      </c>
      <c r="E7">
        <f>'DCF Bull'!E13</f>
        <v>0.8259627385074898</v>
      </c>
      <c r="F7">
        <f>'DCF Bull'!F13</f>
        <v>0.77496235655730861</v>
      </c>
      <c r="G7">
        <f>'DCF Bull'!G13</f>
        <v>0.72711107424298316</v>
      </c>
      <c r="H7">
        <f>'DCF Bull'!H13</f>
        <v>0.68221444540279197</v>
      </c>
      <c r="I7">
        <f>'DCF Bull'!I13</f>
        <v>0.64009003026229239</v>
      </c>
      <c r="J7">
        <f>'DCF Bull'!J13</f>
        <v>0.60056665408085719</v>
      </c>
      <c r="K7">
        <f>'DCF Bull'!K13</f>
        <v>0.56348371157425847</v>
      </c>
      <c r="L7">
        <f>'DCF Bull'!L13</f>
        <v>0.52869051428678504</v>
      </c>
    </row>
    <row r="8" spans="1:12" x14ac:dyDescent="0.35">
      <c r="A8" s="1" t="s">
        <v>176</v>
      </c>
      <c r="C8">
        <f t="shared" ref="C8:L8" si="2">C6*C7</f>
        <v>62.280636063355345</v>
      </c>
      <c r="D8">
        <f t="shared" si="2"/>
        <v>68.551690971617944</v>
      </c>
      <c r="E8">
        <f t="shared" si="2"/>
        <v>72.185006165293416</v>
      </c>
      <c r="F8">
        <f t="shared" si="2"/>
        <v>75.906317682339747</v>
      </c>
      <c r="G8">
        <f t="shared" si="2"/>
        <v>79.717025741745516</v>
      </c>
      <c r="H8">
        <f t="shared" si="2"/>
        <v>79.322902739207109</v>
      </c>
      <c r="I8">
        <f t="shared" si="2"/>
        <v>78.198672254131125</v>
      </c>
      <c r="J8">
        <f t="shared" si="2"/>
        <v>76.367708008321046</v>
      </c>
      <c r="K8">
        <f t="shared" si="2"/>
        <v>73.873138319832591</v>
      </c>
      <c r="L8">
        <f t="shared" si="2"/>
        <v>70.776141570639425</v>
      </c>
    </row>
    <row r="9" spans="1:12" x14ac:dyDescent="0.35">
      <c r="A9" s="1" t="s">
        <v>177</v>
      </c>
      <c r="B9">
        <f>'DCF Bull'!B15</f>
        <v>313.43700000000001</v>
      </c>
    </row>
    <row r="10" spans="1:12" x14ac:dyDescent="0.35">
      <c r="A10" s="1" t="s">
        <v>178</v>
      </c>
      <c r="B10">
        <f>SUM(C8:L8)</f>
        <v>737.17923951648334</v>
      </c>
    </row>
    <row r="11" spans="1:12" x14ac:dyDescent="0.35">
      <c r="A11" s="1" t="s">
        <v>179</v>
      </c>
      <c r="B11">
        <f>'DCF Bull'!M8</f>
        <v>175.41346372560082</v>
      </c>
    </row>
    <row r="12" spans="1:12" x14ac:dyDescent="0.35">
      <c r="A12" s="1" t="s">
        <v>180</v>
      </c>
      <c r="B12">
        <f>'DCF Bull'!M12</f>
        <v>6.5810140994131863E-2</v>
      </c>
    </row>
    <row r="13" spans="1:12" x14ac:dyDescent="0.35">
      <c r="A13" s="1" t="s">
        <v>181</v>
      </c>
      <c r="B13">
        <f>'DCF Bull'!M3</f>
        <v>0.03</v>
      </c>
    </row>
    <row r="14" spans="1:12" x14ac:dyDescent="0.35">
      <c r="A14" s="1" t="s">
        <v>157</v>
      </c>
      <c r="B14">
        <f>'DCF Bull'!B17</f>
        <v>0.2</v>
      </c>
    </row>
    <row r="15" spans="1:12" x14ac:dyDescent="0.35">
      <c r="A15" s="1" t="s">
        <v>182</v>
      </c>
      <c r="B15">
        <f>'DCF Bull'!L15</f>
        <v>570.64854575200275</v>
      </c>
    </row>
    <row r="16" spans="1:12" x14ac:dyDescent="0.35">
      <c r="A16" s="1" t="s">
        <v>183</v>
      </c>
      <c r="B16">
        <f>B11-B12*B15</f>
        <v>137.85900247156522</v>
      </c>
    </row>
    <row r="17" spans="1:2" x14ac:dyDescent="0.35">
      <c r="A17" s="1" t="s">
        <v>184</v>
      </c>
      <c r="B17">
        <f>B11*(B13/B14)*(B14-B12)/(B12*(B12-B13))</f>
        <v>1498.218059277478</v>
      </c>
    </row>
    <row r="18" spans="1:2" x14ac:dyDescent="0.35">
      <c r="A18" s="1" t="s">
        <v>185</v>
      </c>
      <c r="B18">
        <f>B16/B12+B17</f>
        <v>3593.0168302428492</v>
      </c>
    </row>
    <row r="19" spans="1:2" x14ac:dyDescent="0.35">
      <c r="A19" s="1" t="s">
        <v>186</v>
      </c>
      <c r="B19">
        <f>B18*L7</f>
        <v>1899.5939158221661</v>
      </c>
    </row>
    <row r="20" spans="1:2" x14ac:dyDescent="0.35">
      <c r="A20" s="1" t="s">
        <v>187</v>
      </c>
      <c r="B20">
        <f>B9+B10+B19</f>
        <v>2950.2101553386492</v>
      </c>
    </row>
    <row r="21" spans="1:2" x14ac:dyDescent="0.35">
      <c r="A21" s="1" t="s">
        <v>188</v>
      </c>
      <c r="B21">
        <f>'DCF Bull'!B21</f>
        <v>2950.2101553386487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190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191</v>
      </c>
      <c r="B3">
        <v>5.82</v>
      </c>
      <c r="C3">
        <f>B3*(1+B9)</f>
        <v>6.0528000000000004</v>
      </c>
      <c r="D3">
        <f>C3*(1+B9)</f>
        <v>6.294912000000001</v>
      </c>
      <c r="E3">
        <f>D3*(1+B9)</f>
        <v>6.5467084800000013</v>
      </c>
      <c r="F3">
        <f>E3*(1+B9)</f>
        <v>6.8085768192000016</v>
      </c>
      <c r="G3">
        <f>F3*(1+B9)</f>
        <v>7.0809198919680023</v>
      </c>
      <c r="H3">
        <f>G3*(1+B9)</f>
        <v>7.364156687646723</v>
      </c>
      <c r="I3">
        <f>H3*(1+B9)</f>
        <v>7.6587229551525926</v>
      </c>
      <c r="J3">
        <f>I3*(1+B9)</f>
        <v>7.9650718733586965</v>
      </c>
      <c r="K3">
        <f>J3*(1+B9)</f>
        <v>8.2836747482930448</v>
      </c>
      <c r="L3">
        <f>K3*(1+B9)</f>
        <v>8.6150217382247671</v>
      </c>
    </row>
    <row r="4" spans="1:12" x14ac:dyDescent="0.35">
      <c r="A4" s="1" t="s">
        <v>192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193</v>
      </c>
      <c r="B5">
        <v>3.76</v>
      </c>
      <c r="C5">
        <f t="shared" ref="C5:L5" si="1">C3*C4</f>
        <v>3.9103999999999997</v>
      </c>
      <c r="D5">
        <f t="shared" si="1"/>
        <v>4.0668160000000002</v>
      </c>
      <c r="E5">
        <f t="shared" si="1"/>
        <v>4.2294886400000005</v>
      </c>
      <c r="F5">
        <f t="shared" si="1"/>
        <v>4.3986681856000009</v>
      </c>
      <c r="G5">
        <f t="shared" si="1"/>
        <v>4.5746149130240008</v>
      </c>
      <c r="H5">
        <f t="shared" si="1"/>
        <v>4.7575995095449617</v>
      </c>
      <c r="I5">
        <f t="shared" si="1"/>
        <v>4.9479034899267607</v>
      </c>
      <c r="J5">
        <f t="shared" si="1"/>
        <v>5.1458196295238308</v>
      </c>
      <c r="K5">
        <f t="shared" si="1"/>
        <v>5.3516524147047839</v>
      </c>
      <c r="L5">
        <f t="shared" si="1"/>
        <v>5.5657185112929763</v>
      </c>
    </row>
    <row r="6" spans="1:12" x14ac:dyDescent="0.35">
      <c r="A6" s="1" t="s">
        <v>194</v>
      </c>
      <c r="C6">
        <f>1/(1+B8)^C2</f>
        <v>0.91923080407695568</v>
      </c>
      <c r="D6">
        <f>1/(1+B8)^D2</f>
        <v>0.84498527116396649</v>
      </c>
      <c r="E6">
        <f>1/(1+B8)^E2</f>
        <v>0.77673649024523739</v>
      </c>
      <c r="F6">
        <f>1/(1+B8)^F2</f>
        <v>0.71400010848404205</v>
      </c>
      <c r="G6">
        <f>1/(1+B8)^G2</f>
        <v>0.65633089383281962</v>
      </c>
      <c r="H6">
        <f>1/(1+B8)^H2</f>
        <v>0.60331957527848978</v>
      </c>
      <c r="I6">
        <f>1/(1+B8)^I2</f>
        <v>0.55458993829861358</v>
      </c>
      <c r="J6">
        <f>1/(1+B8)^J2</f>
        <v>0.5097961549152239</v>
      </c>
      <c r="K6">
        <f>1/(1+B8)^K2</f>
        <v>0.46862032939806147</v>
      </c>
      <c r="L6">
        <f>1/(1+B8)^L2</f>
        <v>0.43077024219938792</v>
      </c>
    </row>
    <row r="7" spans="1:12" x14ac:dyDescent="0.35">
      <c r="A7" s="1" t="s">
        <v>195</v>
      </c>
      <c r="C7">
        <f t="shared" ref="C7:L7" si="2">C5*C6</f>
        <v>3.594560136262527</v>
      </c>
      <c r="D7">
        <f t="shared" si="2"/>
        <v>3.4363996205339578</v>
      </c>
      <c r="E7">
        <f t="shared" si="2"/>
        <v>3.2851981617657029</v>
      </c>
      <c r="F7">
        <f t="shared" si="2"/>
        <v>3.1406495617037051</v>
      </c>
      <c r="G7">
        <f t="shared" si="2"/>
        <v>3.0024610948059887</v>
      </c>
      <c r="H7">
        <f t="shared" si="2"/>
        <v>2.8703529154438177</v>
      </c>
      <c r="I7">
        <f t="shared" si="2"/>
        <v>2.744057491185977</v>
      </c>
      <c r="J7">
        <f t="shared" si="2"/>
        <v>2.6233190610185311</v>
      </c>
      <c r="K7">
        <f t="shared" si="2"/>
        <v>2.5078931174028871</v>
      </c>
      <c r="L7">
        <f t="shared" si="2"/>
        <v>2.3975459111232924</v>
      </c>
    </row>
    <row r="8" spans="1:12" x14ac:dyDescent="0.35">
      <c r="A8" s="1" t="s">
        <v>196</v>
      </c>
      <c r="B8">
        <v>8.7866067547800103E-2</v>
      </c>
    </row>
    <row r="9" spans="1:12" x14ac:dyDescent="0.35">
      <c r="A9" s="1" t="s">
        <v>197</v>
      </c>
      <c r="B9">
        <v>0.04</v>
      </c>
    </row>
    <row r="10" spans="1:12" x14ac:dyDescent="0.35">
      <c r="A10" s="1" t="s">
        <v>181</v>
      </c>
      <c r="B10">
        <v>0.02</v>
      </c>
    </row>
    <row r="11" spans="1:12" x14ac:dyDescent="0.35">
      <c r="A11" s="1" t="s">
        <v>198</v>
      </c>
      <c r="B11">
        <v>8.7866067547800103E-2</v>
      </c>
    </row>
    <row r="12" spans="1:12" x14ac:dyDescent="0.35">
      <c r="A12" s="1" t="s">
        <v>199</v>
      </c>
      <c r="B12">
        <f>1-B10/B11</f>
        <v>0.7723808455508745</v>
      </c>
    </row>
    <row r="13" spans="1:12" x14ac:dyDescent="0.35">
      <c r="A13" s="1" t="s">
        <v>200</v>
      </c>
      <c r="B13">
        <f>L3*(1+B10)*B12</f>
        <v>6.787159330101395</v>
      </c>
    </row>
    <row r="14" spans="1:12" x14ac:dyDescent="0.35">
      <c r="A14" s="1" t="s">
        <v>201</v>
      </c>
      <c r="B14">
        <f>B13/(B8-B10)</f>
        <v>100.00814214439337</v>
      </c>
    </row>
    <row r="15" spans="1:12" x14ac:dyDescent="0.35">
      <c r="A15" s="1" t="s">
        <v>159</v>
      </c>
      <c r="B15">
        <f>B14*L6</f>
        <v>43.08053161345115</v>
      </c>
    </row>
    <row r="16" spans="1:12" x14ac:dyDescent="0.35">
      <c r="A16" s="1" t="s">
        <v>202</v>
      </c>
      <c r="B16">
        <f>SUM(C7:L7)</f>
        <v>29.602437071246385</v>
      </c>
    </row>
    <row r="17" spans="1:2" x14ac:dyDescent="0.35">
      <c r="A17" s="1" t="s">
        <v>170</v>
      </c>
      <c r="B17">
        <f>B16+B15</f>
        <v>72.682968684697528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190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191</v>
      </c>
      <c r="B3">
        <v>5.82</v>
      </c>
      <c r="C3">
        <f>B3*(1+B9)</f>
        <v>6.1692000000000009</v>
      </c>
      <c r="D3">
        <f>C3*(1+B9)</f>
        <v>6.5393520000000009</v>
      </c>
      <c r="E3">
        <f>D3*(1+B9)</f>
        <v>6.9317131200000013</v>
      </c>
      <c r="F3">
        <f>E3*(1+B9)</f>
        <v>7.3476159072000016</v>
      </c>
      <c r="G3">
        <f>F3*(1+B9)</f>
        <v>7.7884728616320018</v>
      </c>
      <c r="H3">
        <f>G3*(1+B9)</f>
        <v>8.2557812333299232</v>
      </c>
      <c r="I3">
        <f>H3*(1+B9)</f>
        <v>8.7511281073297198</v>
      </c>
      <c r="J3">
        <f>I3*(1+B9)</f>
        <v>9.276195793769503</v>
      </c>
      <c r="K3">
        <f>J3*(1+B9)</f>
        <v>9.8327675413956737</v>
      </c>
      <c r="L3">
        <f>K3*(1+B9)</f>
        <v>10.422733593879414</v>
      </c>
    </row>
    <row r="4" spans="1:12" x14ac:dyDescent="0.35">
      <c r="A4" s="1" t="s">
        <v>192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193</v>
      </c>
      <c r="B5">
        <v>3.76</v>
      </c>
      <c r="C5">
        <f t="shared" ref="C5:L5" si="1">C3*C4</f>
        <v>3.9856000000000003</v>
      </c>
      <c r="D5">
        <f t="shared" si="1"/>
        <v>4.224736</v>
      </c>
      <c r="E5">
        <f t="shared" si="1"/>
        <v>4.4782201600000002</v>
      </c>
      <c r="F5">
        <f t="shared" si="1"/>
        <v>4.7469133696000005</v>
      </c>
      <c r="G5">
        <f t="shared" si="1"/>
        <v>5.0317281717760007</v>
      </c>
      <c r="H5">
        <f t="shared" si="1"/>
        <v>5.3336318620825613</v>
      </c>
      <c r="I5">
        <f t="shared" si="1"/>
        <v>5.6536497738075155</v>
      </c>
      <c r="J5">
        <f t="shared" si="1"/>
        <v>5.9928687602359672</v>
      </c>
      <c r="K5">
        <f t="shared" si="1"/>
        <v>6.3524408858501253</v>
      </c>
      <c r="L5">
        <f t="shared" si="1"/>
        <v>6.7335873390011329</v>
      </c>
    </row>
    <row r="6" spans="1:12" x14ac:dyDescent="0.35">
      <c r="A6" s="1" t="s">
        <v>194</v>
      </c>
      <c r="C6">
        <f>1/(1+B8)^C2</f>
        <v>0.93029616932432113</v>
      </c>
      <c r="D6">
        <f>1/(1+B8)^D2</f>
        <v>0.86545096265950616</v>
      </c>
      <c r="E6">
        <f>1/(1+B8)^E2</f>
        <v>0.80512571530018462</v>
      </c>
      <c r="F6">
        <f>1/(1+B8)^F2</f>
        <v>0.74900536876826596</v>
      </c>
      <c r="G6">
        <f>1/(1+B8)^G2</f>
        <v>0.69679682536846832</v>
      </c>
      <c r="H6">
        <f>1/(1+B8)^H2</f>
        <v>0.64822741743763412</v>
      </c>
      <c r="I6">
        <f>1/(1+B8)^I2</f>
        <v>0.60304348329322865</v>
      </c>
      <c r="J6">
        <f>1/(1+B8)^J2</f>
        <v>0.56100904244368599</v>
      </c>
      <c r="K6">
        <f>1/(1+B8)^K2</f>
        <v>0.52190456314166656</v>
      </c>
      <c r="L6">
        <f>1/(1+B8)^L2</f>
        <v>0.48552581584357585</v>
      </c>
    </row>
    <row r="7" spans="1:12" x14ac:dyDescent="0.35">
      <c r="A7" s="1" t="s">
        <v>195</v>
      </c>
      <c r="C7">
        <f t="shared" ref="C7:L7" si="2">C5*C6</f>
        <v>3.7077884124590144</v>
      </c>
      <c r="D7">
        <f t="shared" si="2"/>
        <v>3.6563018381822716</v>
      </c>
      <c r="E7">
        <f t="shared" si="2"/>
        <v>3.6055302095917074</v>
      </c>
      <c r="F7">
        <f t="shared" si="2"/>
        <v>3.5554635989082604</v>
      </c>
      <c r="G7">
        <f t="shared" si="2"/>
        <v>3.5060922162106043</v>
      </c>
      <c r="H7">
        <f t="shared" si="2"/>
        <v>3.4574064075208581</v>
      </c>
      <c r="I7">
        <f t="shared" si="2"/>
        <v>3.4093966529168585</v>
      </c>
      <c r="J7">
        <f t="shared" si="2"/>
        <v>3.3620535646706595</v>
      </c>
      <c r="K7">
        <f t="shared" si="2"/>
        <v>3.3153678854128708</v>
      </c>
      <c r="L7">
        <f t="shared" si="2"/>
        <v>3.2693304863224979</v>
      </c>
    </row>
    <row r="8" spans="1:12" x14ac:dyDescent="0.35">
      <c r="A8" s="1" t="s">
        <v>196</v>
      </c>
      <c r="B8">
        <v>7.492649435104648E-2</v>
      </c>
    </row>
    <row r="9" spans="1:12" x14ac:dyDescent="0.35">
      <c r="A9" s="1" t="s">
        <v>197</v>
      </c>
      <c r="B9">
        <v>0.06</v>
      </c>
    </row>
    <row r="10" spans="1:12" x14ac:dyDescent="0.35">
      <c r="A10" s="1" t="s">
        <v>181</v>
      </c>
      <c r="B10">
        <v>2.5000000000000001E-2</v>
      </c>
    </row>
    <row r="11" spans="1:12" x14ac:dyDescent="0.35">
      <c r="A11" s="1" t="s">
        <v>198</v>
      </c>
      <c r="B11">
        <v>0.15</v>
      </c>
    </row>
    <row r="12" spans="1:12" x14ac:dyDescent="0.35">
      <c r="A12" s="1" t="s">
        <v>199</v>
      </c>
      <c r="B12">
        <f>1-B10/B11</f>
        <v>0.83333333333333326</v>
      </c>
    </row>
    <row r="13" spans="1:12" x14ac:dyDescent="0.35">
      <c r="A13" s="1" t="s">
        <v>200</v>
      </c>
      <c r="B13">
        <f>L3*(1+B10)*B12</f>
        <v>8.9027516114386636</v>
      </c>
    </row>
    <row r="14" spans="1:12" x14ac:dyDescent="0.35">
      <c r="A14" s="1" t="s">
        <v>201</v>
      </c>
      <c r="B14">
        <f>B13/(B8-B10)</f>
        <v>178.31717862746473</v>
      </c>
    </row>
    <row r="15" spans="1:12" x14ac:dyDescent="0.35">
      <c r="A15" s="1" t="s">
        <v>159</v>
      </c>
      <c r="B15">
        <f>B14*L6</f>
        <v>86.57759363202446</v>
      </c>
    </row>
    <row r="16" spans="1:12" x14ac:dyDescent="0.35">
      <c r="A16" s="1" t="s">
        <v>202</v>
      </c>
      <c r="B16">
        <f>SUM(C7:L7)</f>
        <v>34.844731272195602</v>
      </c>
    </row>
    <row r="17" spans="1:2" x14ac:dyDescent="0.35">
      <c r="A17" s="1" t="s">
        <v>170</v>
      </c>
      <c r="B17">
        <f>B16+B15</f>
        <v>121.42232490422006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190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191</v>
      </c>
      <c r="B3">
        <v>5.82</v>
      </c>
      <c r="C3">
        <f>B3*(1+B9)</f>
        <v>6.2856000000000005</v>
      </c>
      <c r="D3">
        <f>C3*(1+B9)</f>
        <v>6.7884480000000007</v>
      </c>
      <c r="E3">
        <f>D3*(1+B9)</f>
        <v>7.3315238400000009</v>
      </c>
      <c r="F3">
        <f>E3*(1+B9)</f>
        <v>7.9180457472000016</v>
      </c>
      <c r="G3">
        <f>F3*(1+B9)</f>
        <v>8.5514894069760015</v>
      </c>
      <c r="H3">
        <f>G3*(1+B9)</f>
        <v>9.2356085595340822</v>
      </c>
      <c r="I3">
        <f>H3*(1+B9)</f>
        <v>9.9744572442968096</v>
      </c>
      <c r="J3">
        <f>I3*(1+B9)</f>
        <v>10.772413823840555</v>
      </c>
      <c r="K3">
        <f>J3*(1+B9)</f>
        <v>11.634206929747799</v>
      </c>
      <c r="L3">
        <f>K3*(1+B9)</f>
        <v>12.564943484127625</v>
      </c>
    </row>
    <row r="4" spans="1:12" x14ac:dyDescent="0.35">
      <c r="A4" s="1" t="s">
        <v>192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193</v>
      </c>
      <c r="B5">
        <v>3.76</v>
      </c>
      <c r="C5">
        <f t="shared" ref="C5:L5" si="1">C3*C4</f>
        <v>4.0607999999999995</v>
      </c>
      <c r="D5">
        <f t="shared" si="1"/>
        <v>4.3856640000000002</v>
      </c>
      <c r="E5">
        <f t="shared" si="1"/>
        <v>4.7365171200000002</v>
      </c>
      <c r="F5">
        <f t="shared" si="1"/>
        <v>5.1154384896000007</v>
      </c>
      <c r="G5">
        <f t="shared" si="1"/>
        <v>5.5246735687680006</v>
      </c>
      <c r="H5">
        <f t="shared" si="1"/>
        <v>5.9666474542694408</v>
      </c>
      <c r="I5">
        <f t="shared" si="1"/>
        <v>6.4439792506109965</v>
      </c>
      <c r="J5">
        <f t="shared" si="1"/>
        <v>6.9594975906598764</v>
      </c>
      <c r="K5">
        <f t="shared" si="1"/>
        <v>7.5162573979126668</v>
      </c>
      <c r="L5">
        <f t="shared" si="1"/>
        <v>8.1175579897456807</v>
      </c>
    </row>
    <row r="6" spans="1:12" x14ac:dyDescent="0.35">
      <c r="A6" s="1" t="s">
        <v>194</v>
      </c>
      <c r="C6">
        <f>1/(1+B8)^C2</f>
        <v>0.93766521841889183</v>
      </c>
      <c r="D6">
        <f>1/(1+B8)^D2</f>
        <v>0.87921606183254819</v>
      </c>
      <c r="E6">
        <f>1/(1+B8)^E2</f>
        <v>0.82441032065561415</v>
      </c>
      <c r="F6">
        <f>1/(1+B8)^F2</f>
        <v>0.77302088338433517</v>
      </c>
      <c r="G6">
        <f>1/(1+B8)^G2</f>
        <v>0.72483479546093732</v>
      </c>
      <c r="H6">
        <f>1/(1+B8)^H2</f>
        <v>0.67965237680349255</v>
      </c>
      <c r="I6">
        <f>1/(1+B8)^I2</f>
        <v>0.63728639434436585</v>
      </c>
      <c r="J6">
        <f>1/(1+B8)^J2</f>
        <v>0.59756128614829784</v>
      </c>
      <c r="K6">
        <f>1/(1+B8)^K2</f>
        <v>0.56031243389491758</v>
      </c>
      <c r="L6">
        <f>1/(1+B8)^L2</f>
        <v>0.52538548071089886</v>
      </c>
    </row>
    <row r="7" spans="1:12" x14ac:dyDescent="0.35">
      <c r="A7" s="1" t="s">
        <v>195</v>
      </c>
      <c r="C7">
        <f t="shared" ref="C7:L7" si="2">C5*C6</f>
        <v>3.8076709189554356</v>
      </c>
      <c r="D7">
        <f t="shared" si="2"/>
        <v>3.855946230600781</v>
      </c>
      <c r="E7">
        <f t="shared" si="2"/>
        <v>3.9048335976900064</v>
      </c>
      <c r="F7">
        <f t="shared" si="2"/>
        <v>3.9543407801288217</v>
      </c>
      <c r="G7">
        <f t="shared" si="2"/>
        <v>4.0044756362064007</v>
      </c>
      <c r="H7">
        <f t="shared" si="2"/>
        <v>4.0552461238427338</v>
      </c>
      <c r="I7">
        <f t="shared" si="2"/>
        <v>4.1066603018517904</v>
      </c>
      <c r="J7">
        <f t="shared" si="2"/>
        <v>4.1587263312206959</v>
      </c>
      <c r="K7">
        <f t="shared" si="2"/>
        <v>4.2114524764051264</v>
      </c>
      <c r="L7">
        <f t="shared" si="2"/>
        <v>4.264847106641132</v>
      </c>
    </row>
    <row r="8" spans="1:12" x14ac:dyDescent="0.35">
      <c r="A8" s="1" t="s">
        <v>196</v>
      </c>
      <c r="B8">
        <v>6.6478717943935561E-2</v>
      </c>
    </row>
    <row r="9" spans="1:12" x14ac:dyDescent="0.35">
      <c r="A9" s="1" t="s">
        <v>197</v>
      </c>
      <c r="B9">
        <v>0.08</v>
      </c>
    </row>
    <row r="10" spans="1:12" x14ac:dyDescent="0.35">
      <c r="A10" s="1" t="s">
        <v>181</v>
      </c>
      <c r="B10">
        <v>0.03</v>
      </c>
    </row>
    <row r="11" spans="1:12" x14ac:dyDescent="0.35">
      <c r="A11" s="1" t="s">
        <v>198</v>
      </c>
      <c r="B11">
        <v>0.2</v>
      </c>
    </row>
    <row r="12" spans="1:12" x14ac:dyDescent="0.35">
      <c r="A12" s="1" t="s">
        <v>199</v>
      </c>
      <c r="B12">
        <f>1-B10/B11</f>
        <v>0.85</v>
      </c>
    </row>
    <row r="13" spans="1:12" x14ac:dyDescent="0.35">
      <c r="A13" s="1" t="s">
        <v>200</v>
      </c>
      <c r="B13">
        <f>L3*(1+B10)*B12</f>
        <v>11.000608020353734</v>
      </c>
    </row>
    <row r="14" spans="1:12" x14ac:dyDescent="0.35">
      <c r="A14" s="1" t="s">
        <v>201</v>
      </c>
      <c r="B14">
        <f>B13/(B8-B10)</f>
        <v>301.56235307558393</v>
      </c>
    </row>
    <row r="15" spans="1:12" x14ac:dyDescent="0.35">
      <c r="A15" s="1" t="s">
        <v>159</v>
      </c>
      <c r="B15">
        <f>B14*L6</f>
        <v>158.43648183492547</v>
      </c>
    </row>
    <row r="16" spans="1:12" x14ac:dyDescent="0.35">
      <c r="A16" s="1" t="s">
        <v>202</v>
      </c>
      <c r="B16">
        <f>SUM(C7:L7)</f>
        <v>40.324199503542921</v>
      </c>
    </row>
    <row r="17" spans="1:2" x14ac:dyDescent="0.35">
      <c r="A17" s="1" t="s">
        <v>170</v>
      </c>
      <c r="B17">
        <f>B16+B15</f>
        <v>198.7606813384684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203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</row>
    <row r="2" spans="1:7" x14ac:dyDescent="0.35">
      <c r="A2" s="1" t="s">
        <v>204</v>
      </c>
      <c r="B2">
        <v>65.09765625</v>
      </c>
    </row>
    <row r="3" spans="1:7" x14ac:dyDescent="0.35">
      <c r="A3" s="1" t="s">
        <v>205</v>
      </c>
      <c r="B3">
        <v>13.633262999999999</v>
      </c>
    </row>
    <row r="4" spans="1:7" x14ac:dyDescent="0.35">
      <c r="A4" s="1" t="s">
        <v>206</v>
      </c>
      <c r="B4">
        <f>B2*B3</f>
        <v>887.49346833984373</v>
      </c>
    </row>
    <row r="5" spans="1:7" x14ac:dyDescent="0.35">
      <c r="A5" s="1" t="s">
        <v>207</v>
      </c>
      <c r="B5">
        <v>86.995000000000005</v>
      </c>
    </row>
    <row r="6" spans="1:7" x14ac:dyDescent="0.35">
      <c r="A6" s="1" t="s">
        <v>208</v>
      </c>
      <c r="B6">
        <v>58.13</v>
      </c>
    </row>
    <row r="7" spans="1:7" x14ac:dyDescent="0.35">
      <c r="A7" s="1" t="s">
        <v>209</v>
      </c>
      <c r="B7">
        <v>30</v>
      </c>
    </row>
    <row r="8" spans="1:7" x14ac:dyDescent="0.35">
      <c r="A8" s="1" t="s">
        <v>210</v>
      </c>
      <c r="B8">
        <f>B4+B5-B6</f>
        <v>916.35846833984374</v>
      </c>
    </row>
    <row r="9" spans="1:7" x14ac:dyDescent="0.35">
      <c r="A9" s="1" t="s">
        <v>211</v>
      </c>
      <c r="B9">
        <v>111.98399999999999</v>
      </c>
    </row>
    <row r="10" spans="1:7" x14ac:dyDescent="0.35">
      <c r="A10" s="1" t="s">
        <v>212</v>
      </c>
      <c r="B10">
        <f>B8/B9</f>
        <v>8.1829410303243666</v>
      </c>
    </row>
    <row r="11" spans="1:7" x14ac:dyDescent="0.35">
      <c r="A11" s="1" t="s">
        <v>213</v>
      </c>
      <c r="B11">
        <v>4.5</v>
      </c>
    </row>
    <row r="12" spans="1:7" x14ac:dyDescent="0.35">
      <c r="A12" s="1" t="s">
        <v>214</v>
      </c>
      <c r="B12">
        <f>B11*B9</f>
        <v>503.928</v>
      </c>
    </row>
    <row r="13" spans="1:7" x14ac:dyDescent="0.35">
      <c r="A13" s="1" t="s">
        <v>215</v>
      </c>
      <c r="B13">
        <v>4.3400000000000001E-2</v>
      </c>
    </row>
    <row r="14" spans="1:7" x14ac:dyDescent="0.35">
      <c r="A14" s="1" t="s">
        <v>216</v>
      </c>
      <c r="B14">
        <v>3.5000000000000003E-2</v>
      </c>
    </row>
    <row r="15" spans="1:7" x14ac:dyDescent="0.35">
      <c r="A15" s="1" t="s">
        <v>217</v>
      </c>
      <c r="B15">
        <f>B13+B14</f>
        <v>7.8399999999999997E-2</v>
      </c>
    </row>
    <row r="16" spans="1:7" x14ac:dyDescent="0.35">
      <c r="A16" s="1" t="s">
        <v>218</v>
      </c>
      <c r="B16">
        <v>0.02</v>
      </c>
    </row>
    <row r="17" spans="1:7" x14ac:dyDescent="0.35">
      <c r="A17" s="1" t="s">
        <v>219</v>
      </c>
      <c r="B17">
        <v>2.5000000000000001E-2</v>
      </c>
    </row>
    <row r="18" spans="1:7" x14ac:dyDescent="0.35">
      <c r="A18" s="1" t="s">
        <v>220</v>
      </c>
      <c r="B18">
        <v>0.01</v>
      </c>
    </row>
    <row r="19" spans="1:7" x14ac:dyDescent="0.35">
      <c r="A19" s="1" t="s">
        <v>221</v>
      </c>
      <c r="B19">
        <v>0.02</v>
      </c>
    </row>
    <row r="20" spans="1:7" x14ac:dyDescent="0.35">
      <c r="A20" s="1" t="s">
        <v>222</v>
      </c>
      <c r="B20">
        <f>B8*B16</f>
        <v>18.327169366796877</v>
      </c>
    </row>
    <row r="21" spans="1:7" x14ac:dyDescent="0.35">
      <c r="A21" s="1" t="s">
        <v>223</v>
      </c>
      <c r="B21">
        <f>B12*B17</f>
        <v>12.5982</v>
      </c>
    </row>
    <row r="22" spans="1:7" x14ac:dyDescent="0.35">
      <c r="A22" s="1" t="s">
        <v>224</v>
      </c>
      <c r="B22">
        <f>B4+B5+B20+B21</f>
        <v>1005.4138377066406</v>
      </c>
    </row>
    <row r="23" spans="1:7" x14ac:dyDescent="0.35">
      <c r="A23" s="1" t="s">
        <v>225</v>
      </c>
      <c r="B23">
        <f>B6-B7</f>
        <v>28.130000000000003</v>
      </c>
    </row>
    <row r="24" spans="1:7" x14ac:dyDescent="0.35">
      <c r="A24" s="1" t="s">
        <v>226</v>
      </c>
      <c r="B24">
        <f>B22-B12-B23</f>
        <v>473.35583770664061</v>
      </c>
    </row>
    <row r="25" spans="1:7" x14ac:dyDescent="0.35">
      <c r="A25" s="1" t="s">
        <v>227</v>
      </c>
      <c r="B25">
        <f>B12+B23+B24</f>
        <v>1005.4138377066406</v>
      </c>
    </row>
    <row r="26" spans="1:7" x14ac:dyDescent="0.35">
      <c r="A26" s="1" t="s">
        <v>228</v>
      </c>
      <c r="B26">
        <f>B25-B22</f>
        <v>0</v>
      </c>
    </row>
    <row r="27" spans="1:7" x14ac:dyDescent="0.35">
      <c r="A27" s="1" t="s">
        <v>144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229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230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231</v>
      </c>
      <c r="C30">
        <f>B15*B12</f>
        <v>39.507955199999998</v>
      </c>
      <c r="D30">
        <f>B15*C39</f>
        <v>36.790171917194677</v>
      </c>
      <c r="E30">
        <f>B15*D39</f>
        <v>33.435995359808537</v>
      </c>
      <c r="F30">
        <f>B15*E39</f>
        <v>29.462393198855555</v>
      </c>
      <c r="G30">
        <f>B15*F39</f>
        <v>24.802343484137754</v>
      </c>
    </row>
    <row r="31" spans="1:7" x14ac:dyDescent="0.35">
      <c r="A31" s="1" t="s">
        <v>147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232</v>
      </c>
      <c r="C32">
        <f>C30*(1-C31)</f>
        <v>30.421125503999999</v>
      </c>
      <c r="D32">
        <f>D30*(1-D31)</f>
        <v>28.328432376239903</v>
      </c>
      <c r="E32">
        <f>E30*(1-E31)</f>
        <v>25.745716427052574</v>
      </c>
      <c r="F32">
        <f>F30*(1-F31)</f>
        <v>22.686042763118778</v>
      </c>
      <c r="G32">
        <f>G30*(1-G31)</f>
        <v>19.097804482786071</v>
      </c>
    </row>
    <row r="33" spans="1:7" x14ac:dyDescent="0.35">
      <c r="A33" s="1" t="s">
        <v>233</v>
      </c>
      <c r="C33">
        <f>C29-C32</f>
        <v>34.665603097006624</v>
      </c>
      <c r="D33">
        <f>D29-D32</f>
        <v>42.782864252374281</v>
      </c>
      <c r="E33">
        <f>E29-E32</f>
        <v>50.683701032563505</v>
      </c>
      <c r="F33">
        <f>F29-F32</f>
        <v>59.439409626502524</v>
      </c>
      <c r="G33">
        <f>G29-G32</f>
        <v>71.792950256527462</v>
      </c>
    </row>
    <row r="34" spans="1:7" x14ac:dyDescent="0.35">
      <c r="A34" s="1" t="s">
        <v>234</v>
      </c>
      <c r="C34">
        <f>B7+C33-B7</f>
        <v>34.665603097006624</v>
      </c>
      <c r="D34">
        <f>C40+D33-B7</f>
        <v>42.782864252374281</v>
      </c>
      <c r="E34">
        <f>D40+E33-B7</f>
        <v>50.683701032563505</v>
      </c>
      <c r="F34">
        <f>E40+F33-B7</f>
        <v>59.439409626502524</v>
      </c>
      <c r="G34">
        <f>F40+G33-B7</f>
        <v>71.792950256527462</v>
      </c>
    </row>
    <row r="35" spans="1:7" x14ac:dyDescent="0.35">
      <c r="A35" s="1" t="s">
        <v>235</v>
      </c>
      <c r="C35">
        <f>IF(B18*B12&lt;B12,B18*B12,B12)</f>
        <v>5.0392799999999998</v>
      </c>
      <c r="D35">
        <f>IF(B18*B12&lt;C39,B18*B12,C39)</f>
        <v>5.0392799999999998</v>
      </c>
      <c r="E35">
        <f>IF(B18*B12&lt;D39,B18*B12,D39)</f>
        <v>5.0392799999999998</v>
      </c>
      <c r="F35">
        <f>IF(B18*B12&lt;E39,B18*B12,E39)</f>
        <v>5.0392799999999998</v>
      </c>
      <c r="G35">
        <f>IF(B18*B12&lt;F39,B18*B12,F39)</f>
        <v>5.0392799999999998</v>
      </c>
    </row>
    <row r="36" spans="1:7" x14ac:dyDescent="0.35">
      <c r="A36" s="1" t="s">
        <v>236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237</v>
      </c>
      <c r="C37">
        <f>IF(C34-C35&gt;0,IF(C34-C35&lt;B12-C35,C34-C35,B12-C35),0)</f>
        <v>29.626323097006626</v>
      </c>
      <c r="D37">
        <f>IF(D34-D35&gt;0,IF(D34-D35&lt;C39-D35,D34-D35,C39-D35),0)</f>
        <v>37.743584252374283</v>
      </c>
      <c r="E37">
        <f>IF(E34-E35&gt;0,IF(E34-E35&lt;D39-E35,E34-E35,D39-E35),0)</f>
        <v>45.644421032563507</v>
      </c>
      <c r="F37">
        <f>IF(F34-F35&gt;0,IF(F34-F35&lt;E39-F35,F34-F35,E39-F35),0)</f>
        <v>54.400129626502526</v>
      </c>
      <c r="G37">
        <f>IF(G34-G35&gt;0,IF(G34-G35&lt;F39-G35,G34-G35,F39-G35),0)</f>
        <v>66.753670256527457</v>
      </c>
    </row>
    <row r="38" spans="1:7" x14ac:dyDescent="0.35">
      <c r="A38" s="1" t="s">
        <v>238</v>
      </c>
      <c r="C38">
        <f>C35+C37</f>
        <v>34.665603097006624</v>
      </c>
      <c r="D38">
        <f>D35+D37</f>
        <v>42.782864252374281</v>
      </c>
      <c r="E38">
        <f>E35+E37</f>
        <v>50.683701032563505</v>
      </c>
      <c r="F38">
        <f>F35+F37</f>
        <v>59.439409626502524</v>
      </c>
      <c r="G38">
        <f>G35+G37</f>
        <v>71.792950256527462</v>
      </c>
    </row>
    <row r="39" spans="1:7" x14ac:dyDescent="0.35">
      <c r="A39" s="1" t="s">
        <v>239</v>
      </c>
      <c r="B39">
        <f>B12</f>
        <v>503.928</v>
      </c>
      <c r="C39">
        <f>B12-C38</f>
        <v>469.26239690299337</v>
      </c>
      <c r="D39">
        <f>C39-D38</f>
        <v>426.47953265061909</v>
      </c>
      <c r="E39">
        <f>D39-E38</f>
        <v>375.79583161805556</v>
      </c>
      <c r="F39">
        <f>E39-F38</f>
        <v>316.35642199155302</v>
      </c>
      <c r="G39">
        <f>F39-G38</f>
        <v>244.56347173502556</v>
      </c>
    </row>
    <row r="40" spans="1:7" x14ac:dyDescent="0.35">
      <c r="A40" s="1" t="s">
        <v>240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241</v>
      </c>
      <c r="B41">
        <f>IF(SUM(C36:G36)&gt;0,0,1)</f>
        <v>1</v>
      </c>
    </row>
    <row r="42" spans="1:7" x14ac:dyDescent="0.35">
      <c r="A42" s="1" t="s">
        <v>242</v>
      </c>
      <c r="B42">
        <v>11.090646475186521</v>
      </c>
    </row>
    <row r="43" spans="1:7" x14ac:dyDescent="0.35">
      <c r="A43" s="1" t="s">
        <v>243</v>
      </c>
      <c r="B43">
        <f>B42*G28</f>
        <v>1693.0441121442741</v>
      </c>
    </row>
    <row r="44" spans="1:7" x14ac:dyDescent="0.35">
      <c r="A44" s="1" t="s">
        <v>244</v>
      </c>
      <c r="B44">
        <f>B43*B19</f>
        <v>33.860882242885481</v>
      </c>
    </row>
    <row r="45" spans="1:7" x14ac:dyDescent="0.35">
      <c r="A45" s="1" t="s">
        <v>245</v>
      </c>
      <c r="B45">
        <f>B43-B44-G39+G40</f>
        <v>1444.619758166363</v>
      </c>
    </row>
    <row r="46" spans="1:7" x14ac:dyDescent="0.35">
      <c r="A46" s="1" t="s">
        <v>246</v>
      </c>
      <c r="B46">
        <f>B45/B24</f>
        <v>3.0518684741808491</v>
      </c>
    </row>
    <row r="47" spans="1:7" x14ac:dyDescent="0.35">
      <c r="A47" s="1" t="s">
        <v>247</v>
      </c>
      <c r="B47">
        <f>IF(B46&gt;0,B46^(1/5)-1,-1)</f>
        <v>0.25000906527340749</v>
      </c>
    </row>
    <row r="48" spans="1:7" x14ac:dyDescent="0.35">
      <c r="A48" s="1" t="s">
        <v>248</v>
      </c>
      <c r="B48">
        <v>0.25</v>
      </c>
    </row>
    <row r="49" spans="1:2" x14ac:dyDescent="0.35">
      <c r="A49" s="1" t="s">
        <v>249</v>
      </c>
      <c r="B49">
        <f>IF(B41=1,IF(B47&gt;=B48,1,0),0)</f>
        <v>1</v>
      </c>
    </row>
    <row r="50" spans="1:2" x14ac:dyDescent="0.35">
      <c r="A50" s="1" t="s">
        <v>250</v>
      </c>
      <c r="B50">
        <v>3.656002430166319E-3</v>
      </c>
    </row>
    <row r="51" spans="1:2" x14ac:dyDescent="0.35">
      <c r="A51" s="1" t="s">
        <v>251</v>
      </c>
      <c r="B51">
        <v>1.3211609958305439E-2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203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</row>
    <row r="2" spans="1:7" x14ac:dyDescent="0.35">
      <c r="A2" s="1" t="s">
        <v>204</v>
      </c>
      <c r="B2">
        <v>74.873046875</v>
      </c>
    </row>
    <row r="3" spans="1:7" x14ac:dyDescent="0.35">
      <c r="A3" s="1" t="s">
        <v>205</v>
      </c>
      <c r="B3">
        <v>13.633262999999999</v>
      </c>
    </row>
    <row r="4" spans="1:7" x14ac:dyDescent="0.35">
      <c r="A4" s="1" t="s">
        <v>206</v>
      </c>
      <c r="B4">
        <f>B2*B3</f>
        <v>1020.7639396582031</v>
      </c>
    </row>
    <row r="5" spans="1:7" x14ac:dyDescent="0.35">
      <c r="A5" s="1" t="s">
        <v>207</v>
      </c>
      <c r="B5">
        <v>86.995000000000005</v>
      </c>
    </row>
    <row r="6" spans="1:7" x14ac:dyDescent="0.35">
      <c r="A6" s="1" t="s">
        <v>208</v>
      </c>
      <c r="B6">
        <v>58.13</v>
      </c>
    </row>
    <row r="7" spans="1:7" x14ac:dyDescent="0.35">
      <c r="A7" s="1" t="s">
        <v>209</v>
      </c>
      <c r="B7">
        <v>30</v>
      </c>
    </row>
    <row r="8" spans="1:7" x14ac:dyDescent="0.35">
      <c r="A8" s="1" t="s">
        <v>210</v>
      </c>
      <c r="B8">
        <f>B4+B5-B6</f>
        <v>1049.6289396582029</v>
      </c>
    </row>
    <row r="9" spans="1:7" x14ac:dyDescent="0.35">
      <c r="A9" s="1" t="s">
        <v>211</v>
      </c>
      <c r="B9">
        <v>111.98399999999999</v>
      </c>
    </row>
    <row r="10" spans="1:7" x14ac:dyDescent="0.35">
      <c r="A10" s="1" t="s">
        <v>212</v>
      </c>
      <c r="B10">
        <f>B8/B9</f>
        <v>9.3730259649432313</v>
      </c>
    </row>
    <row r="11" spans="1:7" x14ac:dyDescent="0.35">
      <c r="A11" s="1" t="s">
        <v>213</v>
      </c>
      <c r="B11">
        <v>5</v>
      </c>
    </row>
    <row r="12" spans="1:7" x14ac:dyDescent="0.35">
      <c r="A12" s="1" t="s">
        <v>214</v>
      </c>
      <c r="B12">
        <f>B11*B9</f>
        <v>559.91999999999996</v>
      </c>
    </row>
    <row r="13" spans="1:7" x14ac:dyDescent="0.35">
      <c r="A13" s="1" t="s">
        <v>215</v>
      </c>
      <c r="B13">
        <v>4.3400000000000001E-2</v>
      </c>
    </row>
    <row r="14" spans="1:7" x14ac:dyDescent="0.35">
      <c r="A14" s="1" t="s">
        <v>216</v>
      </c>
      <c r="B14">
        <v>3.5000000000000003E-2</v>
      </c>
    </row>
    <row r="15" spans="1:7" x14ac:dyDescent="0.35">
      <c r="A15" s="1" t="s">
        <v>217</v>
      </c>
      <c r="B15">
        <f>B13+B14</f>
        <v>7.8399999999999997E-2</v>
      </c>
    </row>
    <row r="16" spans="1:7" x14ac:dyDescent="0.35">
      <c r="A16" s="1" t="s">
        <v>218</v>
      </c>
      <c r="B16">
        <v>0.02</v>
      </c>
    </row>
    <row r="17" spans="1:7" x14ac:dyDescent="0.35">
      <c r="A17" s="1" t="s">
        <v>219</v>
      </c>
      <c r="B17">
        <v>2.5000000000000001E-2</v>
      </c>
    </row>
    <row r="18" spans="1:7" x14ac:dyDescent="0.35">
      <c r="A18" s="1" t="s">
        <v>220</v>
      </c>
      <c r="B18">
        <v>0.01</v>
      </c>
    </row>
    <row r="19" spans="1:7" x14ac:dyDescent="0.35">
      <c r="A19" s="1" t="s">
        <v>221</v>
      </c>
      <c r="B19">
        <v>0.02</v>
      </c>
    </row>
    <row r="20" spans="1:7" x14ac:dyDescent="0.35">
      <c r="A20" s="1" t="s">
        <v>222</v>
      </c>
      <c r="B20">
        <f>B8*B16</f>
        <v>20.992578793164057</v>
      </c>
    </row>
    <row r="21" spans="1:7" x14ac:dyDescent="0.35">
      <c r="A21" s="1" t="s">
        <v>223</v>
      </c>
      <c r="B21">
        <f>B12*B17</f>
        <v>13.997999999999999</v>
      </c>
    </row>
    <row r="22" spans="1:7" x14ac:dyDescent="0.35">
      <c r="A22" s="1" t="s">
        <v>224</v>
      </c>
      <c r="B22">
        <f>B4+B5+B20+B21</f>
        <v>1142.7495184513671</v>
      </c>
    </row>
    <row r="23" spans="1:7" x14ac:dyDescent="0.35">
      <c r="A23" s="1" t="s">
        <v>225</v>
      </c>
      <c r="B23">
        <f>B6-B7</f>
        <v>28.130000000000003</v>
      </c>
    </row>
    <row r="24" spans="1:7" x14ac:dyDescent="0.35">
      <c r="A24" s="1" t="s">
        <v>226</v>
      </c>
      <c r="B24">
        <f>B22-B12-B23</f>
        <v>554.69951845136711</v>
      </c>
    </row>
    <row r="25" spans="1:7" x14ac:dyDescent="0.35">
      <c r="A25" s="1" t="s">
        <v>227</v>
      </c>
      <c r="B25">
        <f>B12+B23+B24</f>
        <v>1142.7495184513671</v>
      </c>
    </row>
    <row r="26" spans="1:7" x14ac:dyDescent="0.35">
      <c r="A26" s="1" t="s">
        <v>228</v>
      </c>
      <c r="B26">
        <f>B25-B22</f>
        <v>0</v>
      </c>
    </row>
    <row r="27" spans="1:7" x14ac:dyDescent="0.35">
      <c r="A27" s="1" t="s">
        <v>144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229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230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231</v>
      </c>
      <c r="C30">
        <f>B15*B12</f>
        <v>43.897727999999994</v>
      </c>
      <c r="D30">
        <f>B15*C39</f>
        <v>41.444946521585074</v>
      </c>
      <c r="E30">
        <f>B15*D39</f>
        <v>38.371769397516772</v>
      </c>
      <c r="F30">
        <f>B15*E39</f>
        <v>34.696130043672163</v>
      </c>
      <c r="G30">
        <f>B15*F39</f>
        <v>30.352030554802255</v>
      </c>
    </row>
    <row r="31" spans="1:7" x14ac:dyDescent="0.35">
      <c r="A31" s="1" t="s">
        <v>147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232</v>
      </c>
      <c r="C32">
        <f>C30*(1-C31)</f>
        <v>33.801250559999993</v>
      </c>
      <c r="D32">
        <f>D30*(1-D31)</f>
        <v>31.912608821620509</v>
      </c>
      <c r="E32">
        <f>E30*(1-E31)</f>
        <v>29.546262436087915</v>
      </c>
      <c r="F32">
        <f>F30*(1-F31)</f>
        <v>26.716020133627566</v>
      </c>
      <c r="G32">
        <f>G30*(1-G31)</f>
        <v>23.371063527197737</v>
      </c>
    </row>
    <row r="33" spans="1:7" x14ac:dyDescent="0.35">
      <c r="A33" s="1" t="s">
        <v>233</v>
      </c>
      <c r="C33">
        <f>C29-C32</f>
        <v>31.285478041006634</v>
      </c>
      <c r="D33">
        <f>D29-D32</f>
        <v>39.198687806993675</v>
      </c>
      <c r="E33">
        <f>E29-E32</f>
        <v>46.883155023528161</v>
      </c>
      <c r="F33">
        <f>F29-F32</f>
        <v>55.409432255993735</v>
      </c>
      <c r="G33">
        <f>G29-G32</f>
        <v>67.519691212115802</v>
      </c>
    </row>
    <row r="34" spans="1:7" x14ac:dyDescent="0.35">
      <c r="A34" s="1" t="s">
        <v>234</v>
      </c>
      <c r="C34">
        <f>B7+C33-B7</f>
        <v>31.285478041006634</v>
      </c>
      <c r="D34">
        <f>C40+D33-B7</f>
        <v>39.198687806993675</v>
      </c>
      <c r="E34">
        <f>D40+E33-B7</f>
        <v>46.883155023528161</v>
      </c>
      <c r="F34">
        <f>E40+F33-B7</f>
        <v>55.409432255993735</v>
      </c>
      <c r="G34">
        <f>F40+G33-B7</f>
        <v>67.519691212115802</v>
      </c>
    </row>
    <row r="35" spans="1:7" x14ac:dyDescent="0.35">
      <c r="A35" s="1" t="s">
        <v>235</v>
      </c>
      <c r="C35">
        <f>IF(B18*B12&lt;B12,B18*B12,B12)</f>
        <v>5.5991999999999997</v>
      </c>
      <c r="D35">
        <f>IF(B18*B12&lt;C39,B18*B12,C39)</f>
        <v>5.5991999999999997</v>
      </c>
      <c r="E35">
        <f>IF(B18*B12&lt;D39,B18*B12,D39)</f>
        <v>5.5991999999999997</v>
      </c>
      <c r="F35">
        <f>IF(B18*B12&lt;E39,B18*B12,E39)</f>
        <v>5.5991999999999997</v>
      </c>
      <c r="G35">
        <f>IF(B18*B12&lt;F39,B18*B12,F39)</f>
        <v>5.5991999999999997</v>
      </c>
    </row>
    <row r="36" spans="1:7" x14ac:dyDescent="0.35">
      <c r="A36" s="1" t="s">
        <v>236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237</v>
      </c>
      <c r="C37">
        <f>IF(C34-C35&gt;0,IF(C34-C35&lt;B12-C35,C34-C35,B12-C35),0)</f>
        <v>25.686278041006634</v>
      </c>
      <c r="D37">
        <f>IF(D34-D35&gt;0,IF(D34-D35&lt;C39-D35,D34-D35,C39-D35),0)</f>
        <v>33.599487806993679</v>
      </c>
      <c r="E37">
        <f>IF(E34-E35&gt;0,IF(E34-E35&lt;D39-E35,E34-E35,D39-E35),0)</f>
        <v>41.283955023528165</v>
      </c>
      <c r="F37">
        <f>IF(F34-F35&gt;0,IF(F34-F35&lt;E39-F35,F34-F35,E39-F35),0)</f>
        <v>49.810232255993739</v>
      </c>
      <c r="G37">
        <f>IF(G34-G35&gt;0,IF(G34-G35&lt;F39-G35,G34-G35,F39-G35),0)</f>
        <v>61.920491212115806</v>
      </c>
    </row>
    <row r="38" spans="1:7" x14ac:dyDescent="0.35">
      <c r="A38" s="1" t="s">
        <v>238</v>
      </c>
      <c r="C38">
        <f>C35+C37</f>
        <v>31.285478041006634</v>
      </c>
      <c r="D38">
        <f>D35+D37</f>
        <v>39.198687806993675</v>
      </c>
      <c r="E38">
        <f>E35+E37</f>
        <v>46.883155023528161</v>
      </c>
      <c r="F38">
        <f>F35+F37</f>
        <v>55.409432255993735</v>
      </c>
      <c r="G38">
        <f>G35+G37</f>
        <v>67.519691212115802</v>
      </c>
    </row>
    <row r="39" spans="1:7" x14ac:dyDescent="0.35">
      <c r="A39" s="1" t="s">
        <v>239</v>
      </c>
      <c r="B39">
        <f>B12</f>
        <v>559.91999999999996</v>
      </c>
      <c r="C39">
        <f>B12-C38</f>
        <v>528.63452195899333</v>
      </c>
      <c r="D39">
        <f>C39-D38</f>
        <v>489.43583415199964</v>
      </c>
      <c r="E39">
        <f>D39-E38</f>
        <v>442.55267912847148</v>
      </c>
      <c r="F39">
        <f>E39-F38</f>
        <v>387.14324687247773</v>
      </c>
      <c r="G39">
        <f>F39-G38</f>
        <v>319.62355566036194</v>
      </c>
    </row>
    <row r="40" spans="1:7" x14ac:dyDescent="0.35">
      <c r="A40" s="1" t="s">
        <v>240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241</v>
      </c>
      <c r="B41">
        <f>IF(SUM(C36:G36)&gt;0,0,1)</f>
        <v>1</v>
      </c>
    </row>
    <row r="42" spans="1:7" x14ac:dyDescent="0.35">
      <c r="A42" s="1" t="s">
        <v>242</v>
      </c>
      <c r="B42">
        <v>11.162988929834521</v>
      </c>
    </row>
    <row r="43" spans="1:7" x14ac:dyDescent="0.35">
      <c r="A43" s="1" t="s">
        <v>243</v>
      </c>
      <c r="B43">
        <f>B42*G28</f>
        <v>1704.0875591763192</v>
      </c>
    </row>
    <row r="44" spans="1:7" x14ac:dyDescent="0.35">
      <c r="A44" s="1" t="s">
        <v>244</v>
      </c>
      <c r="B44">
        <f>B43*B19</f>
        <v>34.081751183526386</v>
      </c>
    </row>
    <row r="45" spans="1:7" x14ac:dyDescent="0.35">
      <c r="A45" s="1" t="s">
        <v>245</v>
      </c>
      <c r="B45">
        <f>B43-B44-G39+G40</f>
        <v>1380.3822523324309</v>
      </c>
    </row>
    <row r="46" spans="1:7" x14ac:dyDescent="0.35">
      <c r="A46" s="1" t="s">
        <v>246</v>
      </c>
      <c r="B46">
        <f>B45/B24</f>
        <v>2.4885225359240239</v>
      </c>
    </row>
    <row r="47" spans="1:7" x14ac:dyDescent="0.35">
      <c r="A47" s="1" t="s">
        <v>247</v>
      </c>
      <c r="B47">
        <f>IF(B46&gt;0,B46^(1/5)-1,-1)</f>
        <v>0.20001953407891682</v>
      </c>
    </row>
    <row r="48" spans="1:7" x14ac:dyDescent="0.35">
      <c r="A48" s="1" t="s">
        <v>248</v>
      </c>
      <c r="B48">
        <v>0.2</v>
      </c>
    </row>
    <row r="49" spans="1:2" x14ac:dyDescent="0.35">
      <c r="A49" s="1" t="s">
        <v>249</v>
      </c>
      <c r="B49">
        <f>IF(B41=1,IF(B47&gt;=B48,1,0),0)</f>
        <v>1</v>
      </c>
    </row>
    <row r="50" spans="1:2" x14ac:dyDescent="0.35">
      <c r="A50" s="1" t="s">
        <v>250</v>
      </c>
      <c r="B50">
        <v>3.656002430166319E-3</v>
      </c>
    </row>
    <row r="51" spans="1:2" x14ac:dyDescent="0.35">
      <c r="A51" s="1" t="s">
        <v>251</v>
      </c>
      <c r="B51">
        <v>1.3211609958305439E-2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203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</row>
    <row r="2" spans="1:7" x14ac:dyDescent="0.35">
      <c r="A2" s="1" t="s">
        <v>204</v>
      </c>
      <c r="B2">
        <v>106.2841796875</v>
      </c>
    </row>
    <row r="3" spans="1:7" x14ac:dyDescent="0.35">
      <c r="A3" s="1" t="s">
        <v>205</v>
      </c>
      <c r="B3">
        <v>13.633262999999999</v>
      </c>
    </row>
    <row r="4" spans="1:7" x14ac:dyDescent="0.35">
      <c r="A4" s="1" t="s">
        <v>206</v>
      </c>
      <c r="B4">
        <f>B2*B3</f>
        <v>1449.0001744189453</v>
      </c>
    </row>
    <row r="5" spans="1:7" x14ac:dyDescent="0.35">
      <c r="A5" s="1" t="s">
        <v>207</v>
      </c>
      <c r="B5">
        <v>86.995000000000005</v>
      </c>
    </row>
    <row r="6" spans="1:7" x14ac:dyDescent="0.35">
      <c r="A6" s="1" t="s">
        <v>208</v>
      </c>
      <c r="B6">
        <v>58.13</v>
      </c>
    </row>
    <row r="7" spans="1:7" x14ac:dyDescent="0.35">
      <c r="A7" s="1" t="s">
        <v>209</v>
      </c>
      <c r="B7">
        <v>30</v>
      </c>
    </row>
    <row r="8" spans="1:7" x14ac:dyDescent="0.35">
      <c r="A8" s="1" t="s">
        <v>210</v>
      </c>
      <c r="B8">
        <f>B4+B5-B6</f>
        <v>1477.8651744189451</v>
      </c>
    </row>
    <row r="9" spans="1:7" x14ac:dyDescent="0.35">
      <c r="A9" s="1" t="s">
        <v>211</v>
      </c>
      <c r="B9">
        <v>111.98399999999999</v>
      </c>
    </row>
    <row r="10" spans="1:7" x14ac:dyDescent="0.35">
      <c r="A10" s="1" t="s">
        <v>212</v>
      </c>
      <c r="B10">
        <f>B8/B9</f>
        <v>13.197110073036731</v>
      </c>
    </row>
    <row r="11" spans="1:7" x14ac:dyDescent="0.35">
      <c r="A11" s="1" t="s">
        <v>213</v>
      </c>
      <c r="B11">
        <v>5.5</v>
      </c>
    </row>
    <row r="12" spans="1:7" x14ac:dyDescent="0.35">
      <c r="A12" s="1" t="s">
        <v>214</v>
      </c>
      <c r="B12">
        <f>B11*B9</f>
        <v>615.91199999999992</v>
      </c>
    </row>
    <row r="13" spans="1:7" x14ac:dyDescent="0.35">
      <c r="A13" s="1" t="s">
        <v>215</v>
      </c>
      <c r="B13">
        <v>4.3400000000000001E-2</v>
      </c>
    </row>
    <row r="14" spans="1:7" x14ac:dyDescent="0.35">
      <c r="A14" s="1" t="s">
        <v>216</v>
      </c>
      <c r="B14">
        <v>3.5000000000000003E-2</v>
      </c>
    </row>
    <row r="15" spans="1:7" x14ac:dyDescent="0.35">
      <c r="A15" s="1" t="s">
        <v>217</v>
      </c>
      <c r="B15">
        <f>B13+B14</f>
        <v>7.8399999999999997E-2</v>
      </c>
    </row>
    <row r="16" spans="1:7" x14ac:dyDescent="0.35">
      <c r="A16" s="1" t="s">
        <v>218</v>
      </c>
      <c r="B16">
        <v>0.02</v>
      </c>
    </row>
    <row r="17" spans="1:7" x14ac:dyDescent="0.35">
      <c r="A17" s="1" t="s">
        <v>219</v>
      </c>
      <c r="B17">
        <v>2.5000000000000001E-2</v>
      </c>
    </row>
    <row r="18" spans="1:7" x14ac:dyDescent="0.35">
      <c r="A18" s="1" t="s">
        <v>220</v>
      </c>
      <c r="B18">
        <v>0.01</v>
      </c>
    </row>
    <row r="19" spans="1:7" x14ac:dyDescent="0.35">
      <c r="A19" s="1" t="s">
        <v>221</v>
      </c>
      <c r="B19">
        <v>0.02</v>
      </c>
    </row>
    <row r="20" spans="1:7" x14ac:dyDescent="0.35">
      <c r="A20" s="1" t="s">
        <v>222</v>
      </c>
      <c r="B20">
        <f>B8*B16</f>
        <v>29.557303488378903</v>
      </c>
    </row>
    <row r="21" spans="1:7" x14ac:dyDescent="0.35">
      <c r="A21" s="1" t="s">
        <v>223</v>
      </c>
      <c r="B21">
        <f>B12*B17</f>
        <v>15.397799999999998</v>
      </c>
    </row>
    <row r="22" spans="1:7" x14ac:dyDescent="0.35">
      <c r="A22" s="1" t="s">
        <v>224</v>
      </c>
      <c r="B22">
        <f>B4+B5+B20+B21</f>
        <v>1580.9502779073241</v>
      </c>
    </row>
    <row r="23" spans="1:7" x14ac:dyDescent="0.35">
      <c r="A23" s="1" t="s">
        <v>225</v>
      </c>
      <c r="B23">
        <f>B6-B7</f>
        <v>28.130000000000003</v>
      </c>
    </row>
    <row r="24" spans="1:7" x14ac:dyDescent="0.35">
      <c r="A24" s="1" t="s">
        <v>226</v>
      </c>
      <c r="B24">
        <f>B22-B12-B23</f>
        <v>936.90827790732419</v>
      </c>
    </row>
    <row r="25" spans="1:7" x14ac:dyDescent="0.35">
      <c r="A25" s="1" t="s">
        <v>227</v>
      </c>
      <c r="B25">
        <f>B12+B23+B24</f>
        <v>1580.9502779073241</v>
      </c>
    </row>
    <row r="26" spans="1:7" x14ac:dyDescent="0.35">
      <c r="A26" s="1" t="s">
        <v>228</v>
      </c>
      <c r="B26">
        <f>B25-B22</f>
        <v>0</v>
      </c>
    </row>
    <row r="27" spans="1:7" x14ac:dyDescent="0.35">
      <c r="A27" s="1" t="s">
        <v>144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229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230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231</v>
      </c>
      <c r="C30">
        <f>B15*B12</f>
        <v>48.287500799999989</v>
      </c>
      <c r="D30">
        <f>B15*C39</f>
        <v>46.099721125975471</v>
      </c>
      <c r="E30">
        <f>B15*D39</f>
        <v>43.307543435225007</v>
      </c>
      <c r="F30">
        <f>B15*E39</f>
        <v>39.929866888488775</v>
      </c>
      <c r="G30">
        <f>B15*F39</f>
        <v>35.901717625466752</v>
      </c>
    </row>
    <row r="31" spans="1:7" x14ac:dyDescent="0.35">
      <c r="A31" s="1" t="s">
        <v>147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232</v>
      </c>
      <c r="C32">
        <f>C30*(1-C31)</f>
        <v>37.18137561599999</v>
      </c>
      <c r="D32">
        <f>D30*(1-D31)</f>
        <v>35.496785267001115</v>
      </c>
      <c r="E32">
        <f>E30*(1-E31)</f>
        <v>33.346808445123258</v>
      </c>
      <c r="F32">
        <f>F30*(1-F31)</f>
        <v>30.745997504136358</v>
      </c>
      <c r="G32">
        <f>G30*(1-G31)</f>
        <v>27.644322571609401</v>
      </c>
    </row>
    <row r="33" spans="1:7" x14ac:dyDescent="0.35">
      <c r="A33" s="1" t="s">
        <v>233</v>
      </c>
      <c r="C33">
        <f>C29-C32</f>
        <v>27.905352985006637</v>
      </c>
      <c r="D33">
        <f>D29-D32</f>
        <v>35.614511361613069</v>
      </c>
      <c r="E33">
        <f>E29-E32</f>
        <v>43.082609014492817</v>
      </c>
      <c r="F33">
        <f>F29-F32</f>
        <v>51.379454885484947</v>
      </c>
      <c r="G33">
        <f>G29-G32</f>
        <v>63.246432167704135</v>
      </c>
    </row>
    <row r="34" spans="1:7" x14ac:dyDescent="0.35">
      <c r="A34" s="1" t="s">
        <v>234</v>
      </c>
      <c r="C34">
        <f>B7+C33-B7</f>
        <v>27.905352985006637</v>
      </c>
      <c r="D34">
        <f>C40+D33-B7</f>
        <v>35.614511361613069</v>
      </c>
      <c r="E34">
        <f>D40+E33-B7</f>
        <v>43.082609014492817</v>
      </c>
      <c r="F34">
        <f>E40+F33-B7</f>
        <v>51.379454885484947</v>
      </c>
      <c r="G34">
        <f>F40+G33-B7</f>
        <v>63.246432167704143</v>
      </c>
    </row>
    <row r="35" spans="1:7" x14ac:dyDescent="0.35">
      <c r="A35" s="1" t="s">
        <v>235</v>
      </c>
      <c r="C35">
        <f>IF(B18*B12&lt;B12,B18*B12,B12)</f>
        <v>6.1591199999999997</v>
      </c>
      <c r="D35">
        <f>IF(B18*B12&lt;C39,B18*B12,C39)</f>
        <v>6.1591199999999997</v>
      </c>
      <c r="E35">
        <f>IF(B18*B12&lt;D39,B18*B12,D39)</f>
        <v>6.1591199999999997</v>
      </c>
      <c r="F35">
        <f>IF(B18*B12&lt;E39,B18*B12,E39)</f>
        <v>6.1591199999999997</v>
      </c>
      <c r="G35">
        <f>IF(B18*B12&lt;F39,B18*B12,F39)</f>
        <v>6.1591199999999997</v>
      </c>
    </row>
    <row r="36" spans="1:7" x14ac:dyDescent="0.35">
      <c r="A36" s="1" t="s">
        <v>236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237</v>
      </c>
      <c r="C37">
        <f>IF(C34-C35&gt;0,IF(C34-C35&lt;B12-C35,C34-C35,B12-C35),0)</f>
        <v>21.746232985006635</v>
      </c>
      <c r="D37">
        <f>IF(D34-D35&gt;0,IF(D34-D35&lt;C39-D35,D34-D35,C39-D35),0)</f>
        <v>29.455391361613067</v>
      </c>
      <c r="E37">
        <f>IF(E34-E35&gt;0,IF(E34-E35&lt;D39-E35,E34-E35,D39-E35),0)</f>
        <v>36.923489014492816</v>
      </c>
      <c r="F37">
        <f>IF(F34-F35&gt;0,IF(F34-F35&lt;E39-F35,F34-F35,E39-F35),0)</f>
        <v>45.220334885484945</v>
      </c>
      <c r="G37">
        <f>IF(G34-G35&gt;0,IF(G34-G35&lt;F39-G35,G34-G35,F39-G35),0)</f>
        <v>57.087312167704141</v>
      </c>
    </row>
    <row r="38" spans="1:7" x14ac:dyDescent="0.35">
      <c r="A38" s="1" t="s">
        <v>238</v>
      </c>
      <c r="C38">
        <f>C35+C37</f>
        <v>27.905352985006637</v>
      </c>
      <c r="D38">
        <f>D35+D37</f>
        <v>35.614511361613069</v>
      </c>
      <c r="E38">
        <f>E35+E37</f>
        <v>43.082609014492817</v>
      </c>
      <c r="F38">
        <f>F35+F37</f>
        <v>51.379454885484947</v>
      </c>
      <c r="G38">
        <f>G35+G37</f>
        <v>63.246432167704143</v>
      </c>
    </row>
    <row r="39" spans="1:7" x14ac:dyDescent="0.35">
      <c r="A39" s="1" t="s">
        <v>239</v>
      </c>
      <c r="B39">
        <f>B12</f>
        <v>615.91199999999992</v>
      </c>
      <c r="C39">
        <f>B12-C38</f>
        <v>588.00664701499329</v>
      </c>
      <c r="D39">
        <f>C39-D38</f>
        <v>552.39213565338025</v>
      </c>
      <c r="E39">
        <f>D39-E38</f>
        <v>509.30952663888741</v>
      </c>
      <c r="F39">
        <f>E39-F38</f>
        <v>457.93007175340244</v>
      </c>
      <c r="G39">
        <f>F39-G38</f>
        <v>394.6836395856983</v>
      </c>
    </row>
    <row r="40" spans="1:7" x14ac:dyDescent="0.35">
      <c r="A40" s="1" t="s">
        <v>240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241</v>
      </c>
      <c r="B41">
        <f>IF(SUM(C36:G36)&gt;0,0,1)</f>
        <v>1</v>
      </c>
    </row>
    <row r="42" spans="1:7" x14ac:dyDescent="0.35">
      <c r="A42" s="1" t="s">
        <v>242</v>
      </c>
      <c r="B42">
        <v>16.46425504632656</v>
      </c>
    </row>
    <row r="43" spans="1:7" x14ac:dyDescent="0.35">
      <c r="A43" s="1" t="s">
        <v>243</v>
      </c>
      <c r="B43">
        <f>B42*G28</f>
        <v>2513.3530429799443</v>
      </c>
    </row>
    <row r="44" spans="1:7" x14ac:dyDescent="0.35">
      <c r="A44" s="1" t="s">
        <v>244</v>
      </c>
      <c r="B44">
        <f>B43*B19</f>
        <v>50.267060859598885</v>
      </c>
    </row>
    <row r="45" spans="1:7" x14ac:dyDescent="0.35">
      <c r="A45" s="1" t="s">
        <v>245</v>
      </c>
      <c r="B45">
        <f>B43-B44-G39+G40</f>
        <v>2098.4023425346468</v>
      </c>
    </row>
    <row r="46" spans="1:7" x14ac:dyDescent="0.35">
      <c r="A46" s="1" t="s">
        <v>246</v>
      </c>
      <c r="B46">
        <f>B45/B24</f>
        <v>2.2397094699831586</v>
      </c>
    </row>
    <row r="47" spans="1:7" x14ac:dyDescent="0.35">
      <c r="A47" s="1" t="s">
        <v>247</v>
      </c>
      <c r="B47">
        <f>IF(B46&gt;0,B46^(1/5)-1,-1)</f>
        <v>0.17500127336559701</v>
      </c>
    </row>
    <row r="48" spans="1:7" x14ac:dyDescent="0.35">
      <c r="A48" s="1" t="s">
        <v>248</v>
      </c>
      <c r="B48">
        <v>0.17499999999999999</v>
      </c>
    </row>
    <row r="49" spans="1:2" x14ac:dyDescent="0.35">
      <c r="A49" s="1" t="s">
        <v>249</v>
      </c>
      <c r="B49">
        <f>IF(B41=1,IF(B47&gt;=B48,1,0),0)</f>
        <v>1</v>
      </c>
    </row>
    <row r="50" spans="1:2" x14ac:dyDescent="0.35">
      <c r="A50" s="1" t="s">
        <v>250</v>
      </c>
      <c r="B50">
        <v>3.656002430166319E-3</v>
      </c>
    </row>
    <row r="51" spans="1:2" x14ac:dyDescent="0.35">
      <c r="A51" s="1" t="s">
        <v>251</v>
      </c>
      <c r="B51">
        <v>1.3211609958305439E-2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252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253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254</v>
      </c>
      <c r="C4">
        <f>C2*B10*C3</f>
        <v>10.362903225806452</v>
      </c>
      <c r="D4">
        <f>D2*B10*D3</f>
        <v>21.929909982730752</v>
      </c>
      <c r="E4">
        <f>E2*B10*E3</f>
        <v>23.20396810485742</v>
      </c>
      <c r="F4">
        <f>F2*B10*F3</f>
        <v>24.552044957559598</v>
      </c>
      <c r="G4">
        <f>G2*B10*G3</f>
        <v>25.97844079400538</v>
      </c>
      <c r="H4">
        <f>H2*B10*H3</f>
        <v>27.315744921502798</v>
      </c>
      <c r="I4">
        <f>I2*B10*I3</f>
        <v>28.541077186936949</v>
      </c>
      <c r="J4">
        <f>J2*B10*J3</f>
        <v>29.632451720774394</v>
      </c>
      <c r="K4">
        <f>K2*B10*K3</f>
        <v>30.569411022063832</v>
      </c>
      <c r="L4">
        <f>L2*B10*L3</f>
        <v>31.333646297615424</v>
      </c>
    </row>
    <row r="5" spans="1:12" x14ac:dyDescent="0.35">
      <c r="A5" s="1" t="s">
        <v>255</v>
      </c>
      <c r="C5">
        <f>0.5*B11*D2*B10</f>
        <v>10.964954991365376</v>
      </c>
      <c r="D5">
        <f>0.5*B11*D2*B10</f>
        <v>10.964954991365376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256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257</v>
      </c>
      <c r="C7">
        <f t="shared" ref="C7:L7" si="0">(C4-C5)*(1-C6)</f>
        <v>-0.46357985948037161</v>
      </c>
      <c r="D7">
        <f t="shared" si="0"/>
        <v>8.4430153433513393</v>
      </c>
      <c r="E7">
        <f t="shared" si="0"/>
        <v>17.867055440740213</v>
      </c>
      <c r="F7">
        <f t="shared" si="0"/>
        <v>18.905074617320892</v>
      </c>
      <c r="G7">
        <f t="shared" si="0"/>
        <v>20.003399411384144</v>
      </c>
      <c r="H7">
        <f t="shared" si="0"/>
        <v>20.923860609871145</v>
      </c>
      <c r="I7">
        <f t="shared" si="0"/>
        <v>21.748300816445955</v>
      </c>
      <c r="J7">
        <f t="shared" si="0"/>
        <v>22.461398404346991</v>
      </c>
      <c r="K7">
        <f t="shared" si="0"/>
        <v>23.049335910636131</v>
      </c>
      <c r="L7">
        <f t="shared" si="0"/>
        <v>23.50023472321157</v>
      </c>
    </row>
    <row r="8" spans="1:12" x14ac:dyDescent="0.35">
      <c r="A8" s="1" t="s">
        <v>258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259</v>
      </c>
      <c r="C9">
        <f t="shared" ref="C9:L9" si="1">C7*C8</f>
        <v>-0.43163308917004989</v>
      </c>
      <c r="D9">
        <f t="shared" si="1"/>
        <v>7.3194411020804484</v>
      </c>
      <c r="E9">
        <f t="shared" si="1"/>
        <v>14.42193380730893</v>
      </c>
      <c r="F9">
        <f t="shared" si="1"/>
        <v>14.208200588107843</v>
      </c>
      <c r="G9">
        <f t="shared" si="1"/>
        <v>13.997634897589135</v>
      </c>
      <c r="H9">
        <f t="shared" si="1"/>
        <v>13.632730332125718</v>
      </c>
      <c r="I9">
        <f t="shared" si="1"/>
        <v>13.193393881419468</v>
      </c>
      <c r="J9">
        <f t="shared" si="1"/>
        <v>12.686977186893818</v>
      </c>
      <c r="K9">
        <f t="shared" si="1"/>
        <v>12.121879317361898</v>
      </c>
      <c r="L9">
        <f t="shared" si="1"/>
        <v>11.507312569300304</v>
      </c>
    </row>
    <row r="10" spans="1:12" x14ac:dyDescent="0.35">
      <c r="A10" s="1" t="s">
        <v>260</v>
      </c>
      <c r="B10">
        <v>3.2258064516129031E-2</v>
      </c>
    </row>
    <row r="11" spans="1:12" x14ac:dyDescent="0.35">
      <c r="A11" s="1" t="s">
        <v>261</v>
      </c>
      <c r="B11">
        <v>1</v>
      </c>
    </row>
    <row r="12" spans="1:12" x14ac:dyDescent="0.35">
      <c r="A12" s="1" t="s">
        <v>262</v>
      </c>
      <c r="B12">
        <f>'DCF Base'!M3</f>
        <v>2.5000000000000001E-2</v>
      </c>
    </row>
    <row r="13" spans="1:12" x14ac:dyDescent="0.35">
      <c r="A13" s="1" t="s">
        <v>263</v>
      </c>
      <c r="B13">
        <f>'DCF Base'!M12</f>
        <v>7.4013719318297547E-2</v>
      </c>
    </row>
    <row r="14" spans="1:12" x14ac:dyDescent="0.35">
      <c r="A14" s="1" t="s">
        <v>264</v>
      </c>
      <c r="B14">
        <f>L4*(1+B12)*(1-'DCF Base'!M7)/(B13-B12)</f>
        <v>491.44894381234081</v>
      </c>
    </row>
    <row r="15" spans="1:12" x14ac:dyDescent="0.35">
      <c r="A15" s="1" t="s">
        <v>159</v>
      </c>
      <c r="B15">
        <f>B14*L8</f>
        <v>240.64681374077162</v>
      </c>
    </row>
    <row r="16" spans="1:12" x14ac:dyDescent="0.35">
      <c r="A16" s="1" t="s">
        <v>265</v>
      </c>
      <c r="B16">
        <f>SUM(C9:L9)</f>
        <v>112.65787059301752</v>
      </c>
    </row>
    <row r="17" spans="1:2" x14ac:dyDescent="0.35">
      <c r="A17" s="1" t="s">
        <v>266</v>
      </c>
      <c r="B17">
        <f>B16+B15</f>
        <v>353.30468433378917</v>
      </c>
    </row>
    <row r="18" spans="1:2" x14ac:dyDescent="0.35">
      <c r="A18" s="1" t="s">
        <v>267</v>
      </c>
      <c r="B18">
        <v>13.633262999999999</v>
      </c>
    </row>
    <row r="19" spans="1:2" x14ac:dyDescent="0.35">
      <c r="A19" s="1" t="s">
        <v>268</v>
      </c>
      <c r="B19">
        <f>B17/B18</f>
        <v>25.914902715057224</v>
      </c>
    </row>
    <row r="20" spans="1:2" x14ac:dyDescent="0.35">
      <c r="A20" s="1" t="s">
        <v>269</v>
      </c>
      <c r="B20">
        <f>'DCF Base'!B30</f>
        <v>125.33517043256788</v>
      </c>
    </row>
    <row r="21" spans="1:2" x14ac:dyDescent="0.35">
      <c r="A21" s="1" t="s">
        <v>270</v>
      </c>
      <c r="B21">
        <f>B20+B19</f>
        <v>151.2500731476251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252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253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254</v>
      </c>
      <c r="C4">
        <f>C2*B10*C3</f>
        <v>15.485212540896903</v>
      </c>
      <c r="D4">
        <f>D2*B10*D3</f>
        <v>32.769708419128392</v>
      </c>
      <c r="E4">
        <f>E2*B10*E3</f>
        <v>34.673524403963292</v>
      </c>
      <c r="F4">
        <f>F2*B10*F3</f>
        <v>36.687946051129835</v>
      </c>
      <c r="G4">
        <f>G2*B10*G3</f>
        <v>38.81939919833362</v>
      </c>
      <c r="H4">
        <f>H2*B10*H3</f>
        <v>40.81772323889269</v>
      </c>
      <c r="I4">
        <f>I2*B10*I3</f>
        <v>42.648728522838098</v>
      </c>
      <c r="J4">
        <f>J2*B10*J3</f>
        <v>44.279561721792334</v>
      </c>
      <c r="K4">
        <f>K2*B10*K3</f>
        <v>45.67965333767328</v>
      </c>
      <c r="L4">
        <f>L2*B10*L3</f>
        <v>46.821644671115109</v>
      </c>
    </row>
    <row r="5" spans="1:12" x14ac:dyDescent="0.35">
      <c r="A5" s="1" t="s">
        <v>255</v>
      </c>
      <c r="C5">
        <f>0.5*B11*D2*B10</f>
        <v>16.384854209564196</v>
      </c>
      <c r="D5">
        <f>0.5*B11*D2*B10</f>
        <v>16.384854209564196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256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257</v>
      </c>
      <c r="C7">
        <f t="shared" ref="C7:L7" si="0">(C4-C5)*(1-C6)</f>
        <v>-0.69272408487381565</v>
      </c>
      <c r="D7">
        <f t="shared" si="0"/>
        <v>12.616337741364431</v>
      </c>
      <c r="E7">
        <f t="shared" si="0"/>
        <v>26.698613791051734</v>
      </c>
      <c r="F7">
        <f t="shared" si="0"/>
        <v>28.249718459369973</v>
      </c>
      <c r="G7">
        <f t="shared" si="0"/>
        <v>29.890937382716888</v>
      </c>
      <c r="H7">
        <f t="shared" si="0"/>
        <v>31.266376000991801</v>
      </c>
      <c r="I7">
        <f t="shared" si="0"/>
        <v>32.498331134402633</v>
      </c>
      <c r="J7">
        <f t="shared" si="0"/>
        <v>33.563907785118587</v>
      </c>
      <c r="K7">
        <f t="shared" si="0"/>
        <v>34.442458616605656</v>
      </c>
      <c r="L7">
        <f t="shared" si="0"/>
        <v>35.116233503336332</v>
      </c>
    </row>
    <row r="8" spans="1:12" x14ac:dyDescent="0.35">
      <c r="A8" s="1" t="s">
        <v>258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259</v>
      </c>
      <c r="C9">
        <f t="shared" ref="C9:L9" si="1">C7*C8</f>
        <v>-0.64498625335391846</v>
      </c>
      <c r="D9">
        <f t="shared" si="1"/>
        <v>10.937388748747283</v>
      </c>
      <c r="E9">
        <f t="shared" si="1"/>
        <v>21.550593052030145</v>
      </c>
      <c r="F9">
        <f t="shared" si="1"/>
        <v>21.231213023648046</v>
      </c>
      <c r="G9">
        <f t="shared" si="1"/>
        <v>20.916566210833764</v>
      </c>
      <c r="H9">
        <f t="shared" si="1"/>
        <v>20.371291915569376</v>
      </c>
      <c r="I9">
        <f t="shared" si="1"/>
        <v>19.714794583894243</v>
      </c>
      <c r="J9">
        <f t="shared" si="1"/>
        <v>18.95805972126815</v>
      </c>
      <c r="K9">
        <f t="shared" si="1"/>
        <v>18.113637996445103</v>
      </c>
      <c r="L9">
        <f t="shared" si="1"/>
        <v>17.195295278489148</v>
      </c>
    </row>
    <row r="10" spans="1:12" x14ac:dyDescent="0.35">
      <c r="A10" s="1" t="s">
        <v>260</v>
      </c>
      <c r="B10">
        <v>4.8202996236254951E-2</v>
      </c>
    </row>
    <row r="11" spans="1:12" x14ac:dyDescent="0.35">
      <c r="A11" s="1" t="s">
        <v>261</v>
      </c>
      <c r="B11">
        <v>1</v>
      </c>
    </row>
    <row r="12" spans="1:12" x14ac:dyDescent="0.35">
      <c r="A12" s="1" t="s">
        <v>262</v>
      </c>
      <c r="B12">
        <f>'DCF Base'!M3</f>
        <v>2.5000000000000001E-2</v>
      </c>
    </row>
    <row r="13" spans="1:12" x14ac:dyDescent="0.35">
      <c r="A13" s="1" t="s">
        <v>263</v>
      </c>
      <c r="B13">
        <f>'DCF Base'!M12</f>
        <v>7.4013719318297547E-2</v>
      </c>
    </row>
    <row r="14" spans="1:12" x14ac:dyDescent="0.35">
      <c r="A14" s="1" t="s">
        <v>264</v>
      </c>
      <c r="B14">
        <f>L4*(1+B12)*(1-'DCF Base'!M7)/(B13-B12)</f>
        <v>734.36865925582993</v>
      </c>
    </row>
    <row r="15" spans="1:12" x14ac:dyDescent="0.35">
      <c r="A15" s="1" t="s">
        <v>159</v>
      </c>
      <c r="B15">
        <f>B14*L8</f>
        <v>359.59682116740805</v>
      </c>
    </row>
    <row r="16" spans="1:12" x14ac:dyDescent="0.35">
      <c r="A16" s="1" t="s">
        <v>265</v>
      </c>
      <c r="B16">
        <f>SUM(C9:L9)</f>
        <v>168.34385427757132</v>
      </c>
    </row>
    <row r="17" spans="1:2" x14ac:dyDescent="0.35">
      <c r="A17" s="1" t="s">
        <v>266</v>
      </c>
      <c r="B17">
        <f>B16+B15</f>
        <v>527.94067544497943</v>
      </c>
    </row>
    <row r="18" spans="1:2" x14ac:dyDescent="0.35">
      <c r="A18" s="1" t="s">
        <v>267</v>
      </c>
      <c r="B18">
        <v>13.633262999999999</v>
      </c>
    </row>
    <row r="19" spans="1:2" x14ac:dyDescent="0.35">
      <c r="A19" s="1" t="s">
        <v>268</v>
      </c>
      <c r="B19">
        <f>B17/B18</f>
        <v>38.724454699141319</v>
      </c>
    </row>
    <row r="20" spans="1:2" x14ac:dyDescent="0.35">
      <c r="A20" s="1" t="s">
        <v>269</v>
      </c>
      <c r="B20">
        <f>'DCF Base'!B30</f>
        <v>125.33517043256788</v>
      </c>
    </row>
    <row r="21" spans="1:2" x14ac:dyDescent="0.35">
      <c r="A21" s="1" t="s">
        <v>270</v>
      </c>
      <c r="B21">
        <f>B20+B19</f>
        <v>164.0596251317092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252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253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254</v>
      </c>
      <c r="C4">
        <f>C2*B10*C3</f>
        <v>22.412790697674417</v>
      </c>
      <c r="D4">
        <f>D2*B10*D3</f>
        <v>47.429805311487442</v>
      </c>
      <c r="E4">
        <f>E2*B10*E3</f>
        <v>50.185326366319536</v>
      </c>
      <c r="F4">
        <f>F2*B10*F3</f>
        <v>53.100934443094012</v>
      </c>
      <c r="G4">
        <f>G2*B10*G3</f>
        <v>56.185930089360475</v>
      </c>
      <c r="H4">
        <f>H2*B10*H3</f>
        <v>59.078239016273493</v>
      </c>
      <c r="I4">
        <f>I2*B10*I3</f>
        <v>61.728376241514795</v>
      </c>
      <c r="J4">
        <f>J2*B10*J3</f>
        <v>64.088790930977183</v>
      </c>
      <c r="K4">
        <f>K2*B10*K3</f>
        <v>66.1152377919055</v>
      </c>
      <c r="L4">
        <f>L2*B10*L3</f>
        <v>67.76811873670313</v>
      </c>
    </row>
    <row r="5" spans="1:12" x14ac:dyDescent="0.35">
      <c r="A5" s="1" t="s">
        <v>255</v>
      </c>
      <c r="C5">
        <f>0.5*B11*D2*B10</f>
        <v>23.714902655743721</v>
      </c>
      <c r="D5">
        <f>0.5*B11*D2*B10</f>
        <v>23.714902655743721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256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257</v>
      </c>
      <c r="C7">
        <f t="shared" ref="C7:L7" si="0">(C4-C5)*(1-C6)</f>
        <v>-1.0026262077133641</v>
      </c>
      <c r="D7">
        <f t="shared" si="0"/>
        <v>18.260475044922664</v>
      </c>
      <c r="E7">
        <f t="shared" si="0"/>
        <v>38.642701302066044</v>
      </c>
      <c r="F7">
        <f t="shared" si="0"/>
        <v>40.88771952118239</v>
      </c>
      <c r="G7">
        <f t="shared" si="0"/>
        <v>43.263166168807565</v>
      </c>
      <c r="H7">
        <f t="shared" si="0"/>
        <v>45.253931086465499</v>
      </c>
      <c r="I7">
        <f t="shared" si="0"/>
        <v>47.037022696034278</v>
      </c>
      <c r="J7">
        <f t="shared" si="0"/>
        <v>48.579303525680707</v>
      </c>
      <c r="K7">
        <f t="shared" si="0"/>
        <v>49.850889295096749</v>
      </c>
      <c r="L7">
        <f t="shared" si="0"/>
        <v>50.826089052527351</v>
      </c>
    </row>
    <row r="8" spans="1:12" x14ac:dyDescent="0.35">
      <c r="A8" s="1" t="s">
        <v>258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259</v>
      </c>
      <c r="C9">
        <f t="shared" ref="C9:L9" si="1">C7*C8</f>
        <v>-0.93353203006545882</v>
      </c>
      <c r="D9">
        <f t="shared" si="1"/>
        <v>15.830419127755388</v>
      </c>
      <c r="E9">
        <f t="shared" si="1"/>
        <v>31.191624280923968</v>
      </c>
      <c r="F9">
        <f t="shared" si="1"/>
        <v>30.729364062651843</v>
      </c>
      <c r="G9">
        <f t="shared" si="1"/>
        <v>30.273954545948595</v>
      </c>
      <c r="H9">
        <f t="shared" si="1"/>
        <v>29.484742346225392</v>
      </c>
      <c r="I9">
        <f t="shared" si="1"/>
        <v>28.534549557488617</v>
      </c>
      <c r="J9">
        <f t="shared" si="1"/>
        <v>27.439276241421521</v>
      </c>
      <c r="K9">
        <f t="shared" si="1"/>
        <v>26.217087825922249</v>
      </c>
      <c r="L9">
        <f t="shared" si="1"/>
        <v>24.887908580114612</v>
      </c>
    </row>
    <row r="10" spans="1:12" x14ac:dyDescent="0.35">
      <c r="A10" s="1" t="s">
        <v>260</v>
      </c>
      <c r="B10">
        <v>6.9767441860465115E-2</v>
      </c>
    </row>
    <row r="11" spans="1:12" x14ac:dyDescent="0.35">
      <c r="A11" s="1" t="s">
        <v>261</v>
      </c>
      <c r="B11">
        <v>1</v>
      </c>
    </row>
    <row r="12" spans="1:12" x14ac:dyDescent="0.35">
      <c r="A12" s="1" t="s">
        <v>262</v>
      </c>
      <c r="B12">
        <f>'DCF Base'!M3</f>
        <v>2.5000000000000001E-2</v>
      </c>
    </row>
    <row r="13" spans="1:12" x14ac:dyDescent="0.35">
      <c r="A13" s="1" t="s">
        <v>263</v>
      </c>
      <c r="B13">
        <f>'DCF Base'!M12</f>
        <v>7.4013719318297547E-2</v>
      </c>
    </row>
    <row r="14" spans="1:12" x14ac:dyDescent="0.35">
      <c r="A14" s="1" t="s">
        <v>264</v>
      </c>
      <c r="B14">
        <f>L4*(1+B12)*(1-'DCF Base'!M7)/(B13-B12)</f>
        <v>1062.9012040592488</v>
      </c>
    </row>
    <row r="15" spans="1:12" x14ac:dyDescent="0.35">
      <c r="A15" s="1" t="s">
        <v>159</v>
      </c>
      <c r="B15">
        <f>B14*L8</f>
        <v>520.46869018352936</v>
      </c>
    </row>
    <row r="16" spans="1:12" x14ac:dyDescent="0.35">
      <c r="A16" s="1" t="s">
        <v>265</v>
      </c>
      <c r="B16">
        <f>SUM(C9:L9)</f>
        <v>243.65539453838673</v>
      </c>
    </row>
    <row r="17" spans="1:2" x14ac:dyDescent="0.35">
      <c r="A17" s="1" t="s">
        <v>266</v>
      </c>
      <c r="B17">
        <f>B16+B15</f>
        <v>764.12408472191612</v>
      </c>
    </row>
    <row r="18" spans="1:2" x14ac:dyDescent="0.35">
      <c r="A18" s="1" t="s">
        <v>267</v>
      </c>
      <c r="B18">
        <v>13.633262999999999</v>
      </c>
    </row>
    <row r="19" spans="1:2" x14ac:dyDescent="0.35">
      <c r="A19" s="1" t="s">
        <v>268</v>
      </c>
      <c r="B19">
        <f>B17/B18</f>
        <v>56.048510523263296</v>
      </c>
    </row>
    <row r="20" spans="1:2" x14ac:dyDescent="0.35">
      <c r="A20" s="1" t="s">
        <v>269</v>
      </c>
      <c r="B20">
        <f>'DCF Base'!B30</f>
        <v>125.33517043256788</v>
      </c>
    </row>
    <row r="21" spans="1:2" x14ac:dyDescent="0.35">
      <c r="A21" s="1" t="s">
        <v>270</v>
      </c>
      <c r="B21">
        <f>B20+B19</f>
        <v>181.38368095583118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O6"/>
  <sheetViews>
    <sheetView workbookViewId="0"/>
  </sheetViews>
  <sheetFormatPr defaultRowHeight="14.5" x14ac:dyDescent="0.35"/>
  <sheetData>
    <row r="1" spans="1:15" x14ac:dyDescent="0.35">
      <c r="A1" s="1"/>
      <c r="B1" s="1" t="s">
        <v>271</v>
      </c>
      <c r="C1" s="1" t="s">
        <v>267</v>
      </c>
      <c r="D1" s="1" t="s">
        <v>272</v>
      </c>
      <c r="E1" s="1" t="s">
        <v>162</v>
      </c>
      <c r="F1" s="1" t="s">
        <v>163</v>
      </c>
      <c r="G1" s="1" t="s">
        <v>273</v>
      </c>
      <c r="H1" s="1" t="s">
        <v>274</v>
      </c>
      <c r="I1" s="1" t="s">
        <v>275</v>
      </c>
      <c r="J1" s="1" t="s">
        <v>276</v>
      </c>
      <c r="K1" s="1" t="s">
        <v>277</v>
      </c>
      <c r="L1" s="1" t="s">
        <v>278</v>
      </c>
      <c r="M1" s="1" t="s">
        <v>279</v>
      </c>
      <c r="N1" s="1" t="s">
        <v>280</v>
      </c>
      <c r="O1" s="1" t="s">
        <v>281</v>
      </c>
    </row>
    <row r="2" spans="1:15" x14ac:dyDescent="0.35">
      <c r="A2" s="1" t="s">
        <v>282</v>
      </c>
      <c r="B2">
        <v>93.160003662109375</v>
      </c>
      <c r="C2">
        <v>243.60869500000001</v>
      </c>
      <c r="D2">
        <f>B2*C2</f>
        <v>22694.586918321686</v>
      </c>
      <c r="E2">
        <v>2205.8000000000002</v>
      </c>
      <c r="F2">
        <v>923.2</v>
      </c>
      <c r="G2">
        <f>D2+E2-F2</f>
        <v>23977.186918321684</v>
      </c>
      <c r="H2">
        <v>6066</v>
      </c>
      <c r="I2">
        <v>722.2</v>
      </c>
      <c r="J2">
        <v>369.4</v>
      </c>
      <c r="K2">
        <v>239.4</v>
      </c>
      <c r="L2">
        <f>M2+K2</f>
        <v>1331</v>
      </c>
      <c r="M2">
        <f>I2+J2</f>
        <v>1091.5999999999999</v>
      </c>
      <c r="N2">
        <f>G2/L2</f>
        <v>18.014415415718769</v>
      </c>
      <c r="O2">
        <f>G2/M2</f>
        <v>21.965176729865963</v>
      </c>
    </row>
    <row r="3" spans="1:15" x14ac:dyDescent="0.35">
      <c r="A3" s="1" t="s">
        <v>283</v>
      </c>
      <c r="B3">
        <v>118.1999969482422</v>
      </c>
      <c r="C3">
        <v>122.309414</v>
      </c>
      <c r="D3">
        <f>B3*C3</f>
        <v>14456.972361541293</v>
      </c>
      <c r="E3">
        <v>2488</v>
      </c>
      <c r="F3">
        <v>167</v>
      </c>
      <c r="G3">
        <f>D3+E3-F3</f>
        <v>16777.972361541295</v>
      </c>
      <c r="H3">
        <v>7104</v>
      </c>
      <c r="I3">
        <v>1166</v>
      </c>
      <c r="J3">
        <v>118</v>
      </c>
      <c r="K3">
        <v>219</v>
      </c>
      <c r="L3">
        <f>M3+K3</f>
        <v>1503</v>
      </c>
      <c r="M3">
        <f>I3+J3</f>
        <v>1284</v>
      </c>
      <c r="N3">
        <f>G3/L3</f>
        <v>11.162988929834528</v>
      </c>
      <c r="O3">
        <f>G3/M3</f>
        <v>13.066956667867052</v>
      </c>
    </row>
    <row r="4" spans="1:15" x14ac:dyDescent="0.35">
      <c r="A4" s="1" t="s">
        <v>284</v>
      </c>
      <c r="B4">
        <v>27.559999465942379</v>
      </c>
      <c r="C4">
        <v>68.268535</v>
      </c>
      <c r="D4">
        <f>B4*C4</f>
        <v>1881.4807881406687</v>
      </c>
      <c r="E4">
        <v>3218.4</v>
      </c>
      <c r="F4">
        <v>171.1</v>
      </c>
      <c r="G4">
        <f>D4+E4-F4</f>
        <v>4928.7807881406679</v>
      </c>
      <c r="H4">
        <v>2925.6</v>
      </c>
      <c r="I4">
        <v>442</v>
      </c>
      <c r="J4">
        <v>73</v>
      </c>
      <c r="K4">
        <v>125.5</v>
      </c>
      <c r="L4">
        <f>M4+K4</f>
        <v>640.5</v>
      </c>
      <c r="M4">
        <f>I4+J4</f>
        <v>515</v>
      </c>
      <c r="N4">
        <f>G4/L4</f>
        <v>7.6952081001415582</v>
      </c>
      <c r="O4">
        <f>G4/M4</f>
        <v>9.5704481323119772</v>
      </c>
    </row>
    <row r="5" spans="1:15" x14ac:dyDescent="0.35">
      <c r="A5" s="1" t="s">
        <v>285</v>
      </c>
      <c r="B5">
        <v>125.30999755859381</v>
      </c>
      <c r="C5">
        <v>128.37626499999999</v>
      </c>
      <c r="D5">
        <f>B5*C5</f>
        <v>16086.82945373139</v>
      </c>
      <c r="E5">
        <v>2646.6129999999998</v>
      </c>
      <c r="F5">
        <v>302.137</v>
      </c>
      <c r="G5">
        <f>D5+E5-F5</f>
        <v>18431.305453731391</v>
      </c>
      <c r="H5">
        <v>7372.6440000000002</v>
      </c>
      <c r="I5">
        <v>889.303</v>
      </c>
      <c r="J5">
        <v>36.331000000000003</v>
      </c>
      <c r="K5">
        <v>193.84</v>
      </c>
      <c r="L5">
        <f>M5+K5</f>
        <v>1119.4739999999999</v>
      </c>
      <c r="M5">
        <f>I5+J5</f>
        <v>925.63400000000001</v>
      </c>
      <c r="N5">
        <f>G5/L5</f>
        <v>16.464255046326571</v>
      </c>
      <c r="O5">
        <f>G5/M5</f>
        <v>19.912087773062993</v>
      </c>
    </row>
    <row r="6" spans="1:15" x14ac:dyDescent="0.35">
      <c r="A6" s="1" t="s">
        <v>286</v>
      </c>
      <c r="B6">
        <v>145.07000732421881</v>
      </c>
      <c r="C6">
        <v>17.394618999999999</v>
      </c>
      <c r="D6">
        <f>B6*C6</f>
        <v>2523.4375057319953</v>
      </c>
      <c r="E6">
        <v>935.82</v>
      </c>
      <c r="F6">
        <v>201.91800000000001</v>
      </c>
      <c r="G6">
        <f>D6+E6-F6</f>
        <v>3257.3395057319954</v>
      </c>
      <c r="H6">
        <v>1832.674</v>
      </c>
      <c r="I6">
        <v>55.844999999999999</v>
      </c>
      <c r="J6">
        <v>116.57599999999999</v>
      </c>
      <c r="K6">
        <v>121.2805</v>
      </c>
      <c r="L6">
        <f>M6+K6</f>
        <v>293.70150000000001</v>
      </c>
      <c r="M6">
        <f>I6+J6</f>
        <v>172.42099999999999</v>
      </c>
      <c r="N6">
        <f>G6/L6</f>
        <v>11.090646475186526</v>
      </c>
      <c r="O6">
        <f>G6/M6</f>
        <v>18.891779456864278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1"/>
  <sheetViews>
    <sheetView workbookViewId="0"/>
  </sheetViews>
  <sheetFormatPr defaultRowHeight="14.5" x14ac:dyDescent="0.35"/>
  <sheetData>
    <row r="1" spans="1:4" x14ac:dyDescent="0.35">
      <c r="A1" s="1"/>
      <c r="B1" s="1" t="s">
        <v>287</v>
      </c>
      <c r="C1" s="1" t="s">
        <v>288</v>
      </c>
      <c r="D1" s="1" t="s">
        <v>289</v>
      </c>
    </row>
    <row r="2" spans="1:4" x14ac:dyDescent="0.35">
      <c r="A2" s="1" t="s">
        <v>290</v>
      </c>
      <c r="B2">
        <v>103.79300000000001</v>
      </c>
      <c r="C2">
        <v>103.79300000000001</v>
      </c>
      <c r="D2">
        <v>103.79300000000001</v>
      </c>
    </row>
    <row r="3" spans="1:4" x14ac:dyDescent="0.35">
      <c r="A3" s="1" t="s">
        <v>291</v>
      </c>
      <c r="B3">
        <v>8.1910000000000007</v>
      </c>
      <c r="C3">
        <v>8.1910000000000007</v>
      </c>
      <c r="D3">
        <v>8.1910000000000007</v>
      </c>
    </row>
    <row r="4" spans="1:4" x14ac:dyDescent="0.35">
      <c r="A4" s="1" t="s">
        <v>211</v>
      </c>
      <c r="B4">
        <f>B2+B3</f>
        <v>111.98400000000001</v>
      </c>
      <c r="C4">
        <f>C2+C3</f>
        <v>111.98400000000001</v>
      </c>
      <c r="D4">
        <f>D2+D3</f>
        <v>111.98400000000001</v>
      </c>
    </row>
    <row r="5" spans="1:4" x14ac:dyDescent="0.35">
      <c r="A5" s="1" t="s">
        <v>162</v>
      </c>
      <c r="B5">
        <v>86.995000000000005</v>
      </c>
      <c r="C5">
        <v>86.995000000000005</v>
      </c>
      <c r="D5">
        <v>86.995000000000005</v>
      </c>
    </row>
    <row r="6" spans="1:4" x14ac:dyDescent="0.35">
      <c r="A6" s="1" t="s">
        <v>163</v>
      </c>
      <c r="B6">
        <v>58.13</v>
      </c>
      <c r="C6">
        <v>58.13</v>
      </c>
      <c r="D6">
        <v>58.13</v>
      </c>
    </row>
    <row r="7" spans="1:4" x14ac:dyDescent="0.35">
      <c r="A7" s="1" t="s">
        <v>292</v>
      </c>
      <c r="B7">
        <v>13.633262999999999</v>
      </c>
      <c r="C7">
        <v>13.633262999999999</v>
      </c>
      <c r="D7">
        <v>13.633262999999999</v>
      </c>
    </row>
    <row r="8" spans="1:4" x14ac:dyDescent="0.35">
      <c r="A8" s="1" t="s">
        <v>293</v>
      </c>
      <c r="B8">
        <v>11.090646475186521</v>
      </c>
      <c r="C8">
        <v>11.162988929834521</v>
      </c>
      <c r="D8">
        <v>16.46425504632656</v>
      </c>
    </row>
    <row r="9" spans="1:4" x14ac:dyDescent="0.35">
      <c r="A9" s="1" t="s">
        <v>294</v>
      </c>
      <c r="B9">
        <f>B4*B8</f>
        <v>1241.9749548772875</v>
      </c>
      <c r="C9">
        <f>C4*C8</f>
        <v>1250.076152318589</v>
      </c>
      <c r="D9">
        <f>D4*D8</f>
        <v>1843.7331371078337</v>
      </c>
    </row>
    <row r="10" spans="1:4" x14ac:dyDescent="0.35">
      <c r="A10" s="1" t="s">
        <v>295</v>
      </c>
      <c r="B10">
        <f>B9-B5+B6</f>
        <v>1213.1099548772877</v>
      </c>
      <c r="C10">
        <f>C9-C5+C6</f>
        <v>1221.211152318589</v>
      </c>
      <c r="D10">
        <f>D9-D5+D6</f>
        <v>1814.8681371078337</v>
      </c>
    </row>
    <row r="11" spans="1:4" x14ac:dyDescent="0.35">
      <c r="A11" s="1" t="s">
        <v>170</v>
      </c>
      <c r="B11">
        <f>B10/B7</f>
        <v>88.981629333879042</v>
      </c>
      <c r="C11">
        <f>C10/C7</f>
        <v>89.575852260650223</v>
      </c>
      <c r="D11">
        <f>D10/D7</f>
        <v>133.12059901637883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8"/>
  <sheetViews>
    <sheetView workbookViewId="0"/>
  </sheetViews>
  <sheetFormatPr defaultRowHeight="14.5" x14ac:dyDescent="0.35"/>
  <sheetData>
    <row r="1" spans="1:9" x14ac:dyDescent="0.35">
      <c r="A1" s="1"/>
      <c r="B1" s="1" t="s">
        <v>296</v>
      </c>
      <c r="C1" s="1" t="s">
        <v>297</v>
      </c>
      <c r="D1" s="1" t="s">
        <v>298</v>
      </c>
      <c r="E1" s="1" t="s">
        <v>299</v>
      </c>
      <c r="F1" s="1" t="s">
        <v>300</v>
      </c>
      <c r="G1" s="1" t="s">
        <v>301</v>
      </c>
      <c r="H1" s="1" t="s">
        <v>302</v>
      </c>
      <c r="I1" s="1" t="s">
        <v>303</v>
      </c>
    </row>
    <row r="2" spans="1:9" x14ac:dyDescent="0.35">
      <c r="A2" s="1" t="s">
        <v>304</v>
      </c>
      <c r="B2" t="s">
        <v>62</v>
      </c>
      <c r="C2">
        <v>1250</v>
      </c>
      <c r="D2">
        <v>117</v>
      </c>
      <c r="E2">
        <f t="shared" ref="E2:E8" si="0">C2/D2</f>
        <v>10.683760683760683</v>
      </c>
      <c r="F2">
        <v>465</v>
      </c>
      <c r="G2">
        <v>15</v>
      </c>
      <c r="H2">
        <f>G2/F2</f>
        <v>3.2258064516129031E-2</v>
      </c>
      <c r="I2">
        <v>1</v>
      </c>
    </row>
    <row r="3" spans="1:9" x14ac:dyDescent="0.35">
      <c r="A3" s="1" t="s">
        <v>305</v>
      </c>
      <c r="B3" t="s">
        <v>66</v>
      </c>
      <c r="C3">
        <v>1420</v>
      </c>
      <c r="D3">
        <v>120</v>
      </c>
      <c r="E3">
        <f t="shared" si="0"/>
        <v>11.833333333333334</v>
      </c>
      <c r="F3">
        <v>767</v>
      </c>
      <c r="G3">
        <v>45</v>
      </c>
      <c r="H3">
        <f>G3/F3</f>
        <v>5.867014341590613E-2</v>
      </c>
      <c r="I3">
        <v>1</v>
      </c>
    </row>
    <row r="4" spans="1:9" x14ac:dyDescent="0.35">
      <c r="A4" s="1" t="s">
        <v>306</v>
      </c>
      <c r="B4" t="s">
        <v>70</v>
      </c>
      <c r="C4">
        <v>1000</v>
      </c>
      <c r="D4">
        <v>80</v>
      </c>
      <c r="E4">
        <f t="shared" si="0"/>
        <v>12.5</v>
      </c>
      <c r="F4">
        <v>265</v>
      </c>
      <c r="G4">
        <v>10</v>
      </c>
      <c r="H4">
        <f>G4/F4</f>
        <v>3.7735849056603772E-2</v>
      </c>
      <c r="I4">
        <v>0</v>
      </c>
    </row>
    <row r="5" spans="1:9" x14ac:dyDescent="0.35">
      <c r="A5" s="1" t="s">
        <v>307</v>
      </c>
      <c r="B5" t="s">
        <v>74</v>
      </c>
      <c r="C5">
        <v>2650</v>
      </c>
      <c r="D5">
        <v>317</v>
      </c>
      <c r="E5">
        <f t="shared" si="0"/>
        <v>8.3596214511041005</v>
      </c>
      <c r="F5">
        <v>1760</v>
      </c>
      <c r="I5">
        <v>1</v>
      </c>
    </row>
    <row r="6" spans="1:9" x14ac:dyDescent="0.35">
      <c r="A6" s="1" t="s">
        <v>308</v>
      </c>
      <c r="B6" t="s">
        <v>78</v>
      </c>
      <c r="C6">
        <v>580</v>
      </c>
      <c r="D6">
        <v>27</v>
      </c>
      <c r="E6">
        <f t="shared" si="0"/>
        <v>21.481481481481481</v>
      </c>
      <c r="F6">
        <v>86</v>
      </c>
      <c r="G6">
        <v>6</v>
      </c>
      <c r="H6">
        <f>G6/F6</f>
        <v>6.9767441860465115E-2</v>
      </c>
      <c r="I6">
        <v>1</v>
      </c>
    </row>
    <row r="7" spans="1:9" x14ac:dyDescent="0.35">
      <c r="A7" s="1" t="s">
        <v>309</v>
      </c>
      <c r="B7" t="s">
        <v>82</v>
      </c>
      <c r="C7">
        <v>692</v>
      </c>
      <c r="D7">
        <v>63</v>
      </c>
      <c r="E7">
        <f t="shared" si="0"/>
        <v>10.984126984126984</v>
      </c>
      <c r="F7">
        <v>700</v>
      </c>
      <c r="I7">
        <v>0</v>
      </c>
    </row>
    <row r="8" spans="1:9" x14ac:dyDescent="0.35">
      <c r="A8" s="1" t="s">
        <v>310</v>
      </c>
      <c r="B8" t="s">
        <v>86</v>
      </c>
      <c r="C8">
        <v>1400</v>
      </c>
      <c r="D8">
        <v>140</v>
      </c>
      <c r="E8">
        <f t="shared" si="0"/>
        <v>10</v>
      </c>
      <c r="F8">
        <v>440</v>
      </c>
      <c r="I8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9"/>
  <sheetViews>
    <sheetView workbookViewId="0"/>
  </sheetViews>
  <sheetFormatPr defaultRowHeight="14.5" x14ac:dyDescent="0.35"/>
  <sheetData>
    <row r="1" spans="1:4" x14ac:dyDescent="0.35">
      <c r="A1" s="1"/>
      <c r="B1" s="1" t="s">
        <v>287</v>
      </c>
      <c r="C1" s="1" t="s">
        <v>288</v>
      </c>
      <c r="D1" s="1" t="s">
        <v>289</v>
      </c>
    </row>
    <row r="2" spans="1:4" x14ac:dyDescent="0.35">
      <c r="A2" s="1" t="s">
        <v>211</v>
      </c>
      <c r="B2">
        <v>111.98399999999999</v>
      </c>
      <c r="C2">
        <v>111.98399999999999</v>
      </c>
      <c r="D2">
        <v>111.98399999999999</v>
      </c>
    </row>
    <row r="3" spans="1:4" x14ac:dyDescent="0.35">
      <c r="A3" s="1" t="s">
        <v>162</v>
      </c>
      <c r="B3">
        <v>86.995000000000005</v>
      </c>
      <c r="C3">
        <v>86.995000000000005</v>
      </c>
      <c r="D3">
        <v>86.995000000000005</v>
      </c>
    </row>
    <row r="4" spans="1:4" x14ac:dyDescent="0.35">
      <c r="A4" s="1" t="s">
        <v>163</v>
      </c>
      <c r="B4">
        <v>58.13</v>
      </c>
      <c r="C4">
        <v>58.13</v>
      </c>
      <c r="D4">
        <v>58.13</v>
      </c>
    </row>
    <row r="5" spans="1:4" x14ac:dyDescent="0.35">
      <c r="A5" s="1" t="s">
        <v>292</v>
      </c>
      <c r="B5">
        <v>13.633262999999999</v>
      </c>
      <c r="C5">
        <v>13.633262999999999</v>
      </c>
      <c r="D5">
        <v>13.633262999999999</v>
      </c>
    </row>
    <row r="6" spans="1:4" x14ac:dyDescent="0.35">
      <c r="A6" s="1" t="s">
        <v>311</v>
      </c>
      <c r="B6">
        <v>10.102725875596541</v>
      </c>
      <c r="C6">
        <v>11.25854700854701</v>
      </c>
      <c r="D6">
        <v>14.24537037037037</v>
      </c>
    </row>
    <row r="7" spans="1:4" x14ac:dyDescent="0.35">
      <c r="A7" s="1" t="s">
        <v>294</v>
      </c>
      <c r="B7">
        <f>B2*B6</f>
        <v>1131.3436544528029</v>
      </c>
      <c r="C7">
        <f>C2*C6</f>
        <v>1260.7771282051283</v>
      </c>
      <c r="D7">
        <f>D2*D6</f>
        <v>1595.2535555555555</v>
      </c>
    </row>
    <row r="8" spans="1:4" x14ac:dyDescent="0.35">
      <c r="A8" s="1" t="s">
        <v>295</v>
      </c>
      <c r="B8">
        <f>B7-B3+B4</f>
        <v>1102.4786544528029</v>
      </c>
      <c r="C8">
        <f>C7-C3+C4</f>
        <v>1231.9121282051283</v>
      </c>
      <c r="D8">
        <f>D7-D3+D4</f>
        <v>1566.3885555555557</v>
      </c>
    </row>
    <row r="9" spans="1:4" x14ac:dyDescent="0.35">
      <c r="A9" s="1" t="s">
        <v>170</v>
      </c>
      <c r="B9">
        <f>B8/B5</f>
        <v>80.866822157894475</v>
      </c>
      <c r="C9">
        <f>C8/C5</f>
        <v>90.360768966690387</v>
      </c>
      <c r="D9">
        <f>D8/D5</f>
        <v>114.89461881249967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Summary</vt:lpstr>
      <vt:lpstr>Sources</vt:lpstr>
      <vt:lpstr>Scenario inputs</vt:lpstr>
      <vt:lpstr>DCF Original</vt:lpstr>
      <vt:lpstr>DCF Bear</vt:lpstr>
      <vt:lpstr>DCF Base</vt:lpstr>
      <vt:lpstr>DCF Bull</vt:lpstr>
      <vt:lpstr>EVA Original</vt:lpstr>
      <vt:lpstr>EVA Bear</vt:lpstr>
      <vt:lpstr>EVA Base</vt:lpstr>
      <vt:lpstr>EVA Bull</vt:lpstr>
      <vt:lpstr>DDM Bear</vt:lpstr>
      <vt:lpstr>DDM Base</vt:lpstr>
      <vt:lpstr>DDM Bull</vt:lpstr>
      <vt:lpstr>LBO Bear</vt:lpstr>
      <vt:lpstr>LBO Base</vt:lpstr>
      <vt:lpstr>LBO Bull</vt:lpstr>
      <vt:lpstr>Synergies Bear</vt:lpstr>
      <vt:lpstr>Synergies Base</vt:lpstr>
      <vt:lpstr>Synergies Bull</vt:lpstr>
      <vt:lpstr>Comps peers</vt:lpstr>
      <vt:lpstr>Comps valuation</vt:lpstr>
      <vt:lpstr>Precedent deals</vt:lpstr>
      <vt:lpstr>Precedent 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created xsi:type="dcterms:W3CDTF">2026-10-29T17:32:41Z</dcterms:created>
  <dcterms:modified xsi:type="dcterms:W3CDTF">2026-10-29T17:32:49Z</dcterms:modified>
</cp:coreProperties>
</file>