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sunesis-ai\models\out\valuation_book\"/>
    </mc:Choice>
  </mc:AlternateContent>
  <xr:revisionPtr revIDLastSave="0" documentId="8_{0332A0E1-EB83-415A-AD29-61A3304D8FB4}" xr6:coauthVersionLast="47" xr6:coauthVersionMax="47" xr10:uidLastSave="{00000000-0000-0000-0000-000000000000}"/>
  <bookViews>
    <workbookView xWindow="4310" yWindow="4570" windowWidth="7500" windowHeight="6000" xr2:uid="{00000000-000D-0000-FFFF-FFFF00000000}"/>
  </bookViews>
  <sheets>
    <sheet name="Scenario inputs" sheetId="1" r:id="rId1"/>
    <sheet name="DCF Original" sheetId="2" r:id="rId2"/>
    <sheet name="DCF Bear" sheetId="3" r:id="rId3"/>
    <sheet name="DCF Base" sheetId="4" r:id="rId4"/>
    <sheet name="DCF Bull" sheetId="5" r:id="rId5"/>
    <sheet name="EVA Original" sheetId="6" r:id="rId6"/>
    <sheet name="EVA Bear" sheetId="7" r:id="rId7"/>
    <sheet name="EVA Base" sheetId="8" r:id="rId8"/>
    <sheet name="EVA Bull" sheetId="9" r:id="rId9"/>
    <sheet name="DDM Bear" sheetId="10" r:id="rId10"/>
    <sheet name="DDM Base" sheetId="11" r:id="rId11"/>
    <sheet name="DDM Bull" sheetId="12" r:id="rId12"/>
    <sheet name="LBO Bear" sheetId="13" r:id="rId13"/>
    <sheet name="LBO Base" sheetId="14" r:id="rId14"/>
    <sheet name="LBO Bull" sheetId="15" r:id="rId15"/>
    <sheet name="Synergies Bear" sheetId="16" r:id="rId16"/>
    <sheet name="Synergies Base" sheetId="17" r:id="rId17"/>
    <sheet name="Synergies Bull" sheetId="18" r:id="rId18"/>
    <sheet name="Comps peers" sheetId="19" r:id="rId19"/>
    <sheet name="Comps valuation" sheetId="20" r:id="rId20"/>
    <sheet name="Precedent deals" sheetId="21" r:id="rId21"/>
    <sheet name="Precedent valuation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22" l="1"/>
  <c r="D8" i="22" s="1"/>
  <c r="D9" i="22" s="1"/>
  <c r="C7" i="22"/>
  <c r="C8" i="22" s="1"/>
  <c r="C9" i="22" s="1"/>
  <c r="B7" i="22"/>
  <c r="B8" i="22" s="1"/>
  <c r="B9" i="22" s="1"/>
  <c r="E8" i="21"/>
  <c r="E7" i="21"/>
  <c r="H6" i="21"/>
  <c r="E6" i="21"/>
  <c r="E5" i="21"/>
  <c r="H4" i="21"/>
  <c r="E4" i="21"/>
  <c r="H3" i="21"/>
  <c r="E3" i="21"/>
  <c r="H2" i="21"/>
  <c r="E2" i="21"/>
  <c r="D4" i="20"/>
  <c r="D9" i="20" s="1"/>
  <c r="D10" i="20" s="1"/>
  <c r="D11" i="20" s="1"/>
  <c r="C4" i="20"/>
  <c r="C9" i="20" s="1"/>
  <c r="C10" i="20" s="1"/>
  <c r="C11" i="20" s="1"/>
  <c r="B4" i="20"/>
  <c r="B9" i="20" s="1"/>
  <c r="B10" i="20" s="1"/>
  <c r="B11" i="20" s="1"/>
  <c r="M6" i="19"/>
  <c r="L6" i="19"/>
  <c r="D6" i="19"/>
  <c r="G6" i="19" s="1"/>
  <c r="M5" i="19"/>
  <c r="L5" i="19" s="1"/>
  <c r="D5" i="19"/>
  <c r="G5" i="19" s="1"/>
  <c r="M4" i="19"/>
  <c r="L4" i="19" s="1"/>
  <c r="D4" i="19"/>
  <c r="G4" i="19" s="1"/>
  <c r="M3" i="19"/>
  <c r="L3" i="19" s="1"/>
  <c r="D3" i="19"/>
  <c r="G3" i="19" s="1"/>
  <c r="M2" i="19"/>
  <c r="L2" i="19"/>
  <c r="D2" i="19"/>
  <c r="G2" i="19" s="1"/>
  <c r="N2" i="19" s="1"/>
  <c r="B30" i="15"/>
  <c r="B19" i="15"/>
  <c r="B15" i="15"/>
  <c r="B12" i="15"/>
  <c r="B29" i="15" s="1"/>
  <c r="B10" i="15"/>
  <c r="B4" i="15"/>
  <c r="B8" i="15" s="1"/>
  <c r="B30" i="14"/>
  <c r="B19" i="14"/>
  <c r="B15" i="14"/>
  <c r="B12" i="14"/>
  <c r="B4" i="14"/>
  <c r="B8" i="14" s="1"/>
  <c r="B10" i="14" s="1"/>
  <c r="B30" i="13"/>
  <c r="B19" i="13"/>
  <c r="B15" i="13"/>
  <c r="B12" i="13"/>
  <c r="B4" i="13"/>
  <c r="B8" i="13" s="1"/>
  <c r="B10" i="13" s="1"/>
  <c r="B12" i="12"/>
  <c r="L6" i="12"/>
  <c r="K6" i="12"/>
  <c r="J6" i="12"/>
  <c r="I6" i="12"/>
  <c r="H6" i="12"/>
  <c r="G6" i="12"/>
  <c r="F6" i="12"/>
  <c r="E6" i="12"/>
  <c r="D6" i="12"/>
  <c r="C6" i="12"/>
  <c r="B4" i="12"/>
  <c r="C4" i="12" s="1"/>
  <c r="D4" i="12" s="1"/>
  <c r="C3" i="12"/>
  <c r="D3" i="12" s="1"/>
  <c r="E3" i="12" s="1"/>
  <c r="B12" i="11"/>
  <c r="L6" i="11"/>
  <c r="K6" i="11"/>
  <c r="J6" i="11"/>
  <c r="I6" i="11"/>
  <c r="H6" i="11"/>
  <c r="G6" i="11"/>
  <c r="F6" i="11"/>
  <c r="E6" i="11"/>
  <c r="D6" i="11"/>
  <c r="C6" i="11"/>
  <c r="B4" i="11"/>
  <c r="C4" i="11" s="1"/>
  <c r="C3" i="11"/>
  <c r="D3" i="11" s="1"/>
  <c r="E3" i="11" s="1"/>
  <c r="B12" i="10"/>
  <c r="L6" i="10"/>
  <c r="K6" i="10"/>
  <c r="J6" i="10"/>
  <c r="I6" i="10"/>
  <c r="H6" i="10"/>
  <c r="G6" i="10"/>
  <c r="F6" i="10"/>
  <c r="E6" i="10"/>
  <c r="D6" i="10"/>
  <c r="C6" i="10"/>
  <c r="B4" i="10"/>
  <c r="C4" i="10" s="1"/>
  <c r="C3" i="10"/>
  <c r="D3" i="10" s="1"/>
  <c r="B29" i="5"/>
  <c r="B27" i="5"/>
  <c r="B25" i="5"/>
  <c r="B24" i="5"/>
  <c r="B23" i="5"/>
  <c r="B22" i="5"/>
  <c r="B17" i="5"/>
  <c r="B14" i="9" s="1"/>
  <c r="B15" i="5"/>
  <c r="C13" i="5"/>
  <c r="C7" i="9" s="1"/>
  <c r="M12" i="5"/>
  <c r="B12" i="9" s="1"/>
  <c r="H12" i="5"/>
  <c r="H4" i="9" s="1"/>
  <c r="G12" i="5"/>
  <c r="G4" i="9" s="1"/>
  <c r="F12" i="5"/>
  <c r="F4" i="9" s="1"/>
  <c r="E12" i="5"/>
  <c r="E4" i="9" s="1"/>
  <c r="D12" i="5"/>
  <c r="D4" i="9" s="1"/>
  <c r="C12" i="5"/>
  <c r="C4" i="9" s="1"/>
  <c r="L9" i="5"/>
  <c r="K9" i="5"/>
  <c r="J9" i="5"/>
  <c r="I9" i="5"/>
  <c r="H9" i="5"/>
  <c r="G9" i="5"/>
  <c r="F9" i="5"/>
  <c r="E9" i="5"/>
  <c r="D9" i="5"/>
  <c r="C9" i="5"/>
  <c r="M7" i="5"/>
  <c r="C7" i="5"/>
  <c r="D7" i="5" s="1"/>
  <c r="E7" i="5" s="1"/>
  <c r="F7" i="5" s="1"/>
  <c r="G7" i="5" s="1"/>
  <c r="H7" i="5" s="1"/>
  <c r="I7" i="5" s="1"/>
  <c r="J7" i="5" s="1"/>
  <c r="K7" i="5" s="1"/>
  <c r="L7" i="5" s="1"/>
  <c r="B7" i="5"/>
  <c r="B6" i="5"/>
  <c r="L5" i="5"/>
  <c r="M5" i="5" s="1"/>
  <c r="K5" i="5"/>
  <c r="J5" i="5"/>
  <c r="I5" i="5"/>
  <c r="H5" i="5"/>
  <c r="C5" i="5"/>
  <c r="F5" i="5" s="1"/>
  <c r="C4" i="5"/>
  <c r="D4" i="5" s="1"/>
  <c r="B4" i="5"/>
  <c r="M3" i="5"/>
  <c r="G3" i="5"/>
  <c r="J3" i="5" s="1"/>
  <c r="F3" i="5"/>
  <c r="E3" i="5"/>
  <c r="D3" i="5"/>
  <c r="C3" i="5"/>
  <c r="B29" i="4"/>
  <c r="B27" i="4"/>
  <c r="B25" i="4"/>
  <c r="B24" i="4"/>
  <c r="B23" i="4"/>
  <c r="B22" i="4"/>
  <c r="B17" i="4"/>
  <c r="B14" i="8" s="1"/>
  <c r="B15" i="4"/>
  <c r="B9" i="8" s="1"/>
  <c r="M12" i="4"/>
  <c r="B13" i="16" s="1"/>
  <c r="G12" i="4"/>
  <c r="G4" i="8" s="1"/>
  <c r="F12" i="4"/>
  <c r="F4" i="8" s="1"/>
  <c r="E12" i="4"/>
  <c r="E4" i="8" s="1"/>
  <c r="D12" i="4"/>
  <c r="D4" i="8" s="1"/>
  <c r="C12" i="4"/>
  <c r="L9" i="4"/>
  <c r="K9" i="4"/>
  <c r="J9" i="4"/>
  <c r="I9" i="4"/>
  <c r="H9" i="4"/>
  <c r="G9" i="4"/>
  <c r="F9" i="4"/>
  <c r="E9" i="4"/>
  <c r="D9" i="4"/>
  <c r="C9" i="4"/>
  <c r="M7" i="4"/>
  <c r="B7" i="4"/>
  <c r="C7" i="4" s="1"/>
  <c r="B6" i="4"/>
  <c r="B8" i="4" s="1"/>
  <c r="B16" i="4" s="1"/>
  <c r="L5" i="4"/>
  <c r="M5" i="4" s="1"/>
  <c r="K5" i="4"/>
  <c r="J5" i="4"/>
  <c r="I5" i="4"/>
  <c r="H5" i="4"/>
  <c r="G5" i="4"/>
  <c r="F5" i="4"/>
  <c r="E5" i="4"/>
  <c r="D5" i="4"/>
  <c r="C5" i="4"/>
  <c r="B4" i="4"/>
  <c r="M3" i="4"/>
  <c r="B12" i="18" s="1"/>
  <c r="G3" i="4"/>
  <c r="H3" i="4" s="1"/>
  <c r="F3" i="4"/>
  <c r="E3" i="4"/>
  <c r="D3" i="4"/>
  <c r="C3" i="4"/>
  <c r="B29" i="3"/>
  <c r="B27" i="3"/>
  <c r="B25" i="3"/>
  <c r="B24" i="3"/>
  <c r="B23" i="3"/>
  <c r="B22" i="3"/>
  <c r="B15" i="3"/>
  <c r="C3" i="7" s="1"/>
  <c r="M12" i="3"/>
  <c r="B12" i="7" s="1"/>
  <c r="G12" i="3"/>
  <c r="G4" i="7" s="1"/>
  <c r="F12" i="3"/>
  <c r="F4" i="7" s="1"/>
  <c r="E12" i="3"/>
  <c r="E4" i="7" s="1"/>
  <c r="D12" i="3"/>
  <c r="D4" i="7" s="1"/>
  <c r="C12" i="3"/>
  <c r="C4" i="7" s="1"/>
  <c r="C5" i="7" s="1"/>
  <c r="L9" i="3"/>
  <c r="K9" i="3"/>
  <c r="J9" i="3"/>
  <c r="I9" i="3"/>
  <c r="H9" i="3"/>
  <c r="G9" i="3"/>
  <c r="F9" i="3"/>
  <c r="E9" i="3"/>
  <c r="D9" i="3"/>
  <c r="C9" i="3"/>
  <c r="M7" i="3"/>
  <c r="B7" i="3"/>
  <c r="C7" i="3" s="1"/>
  <c r="D7" i="3" s="1"/>
  <c r="E7" i="3" s="1"/>
  <c r="F7" i="3" s="1"/>
  <c r="G7" i="3" s="1"/>
  <c r="H7" i="3" s="1"/>
  <c r="I7" i="3" s="1"/>
  <c r="J7" i="3" s="1"/>
  <c r="K7" i="3" s="1"/>
  <c r="L7" i="3" s="1"/>
  <c r="B6" i="3"/>
  <c r="B8" i="3" s="1"/>
  <c r="B16" i="3" s="1"/>
  <c r="L5" i="3"/>
  <c r="M5" i="3" s="1"/>
  <c r="K5" i="3"/>
  <c r="J5" i="3"/>
  <c r="I5" i="3"/>
  <c r="H5" i="3"/>
  <c r="C5" i="3"/>
  <c r="F5" i="3" s="1"/>
  <c r="C4" i="3"/>
  <c r="D4" i="3" s="1"/>
  <c r="C10" i="3" s="1"/>
  <c r="C15" i="3" s="1"/>
  <c r="B4" i="3"/>
  <c r="M3" i="3"/>
  <c r="B13" i="7" s="1"/>
  <c r="G3" i="3"/>
  <c r="H3" i="3" s="1"/>
  <c r="F3" i="3"/>
  <c r="E3" i="3"/>
  <c r="D3" i="3"/>
  <c r="C3" i="3"/>
  <c r="B29" i="2"/>
  <c r="B27" i="2"/>
  <c r="B25" i="2"/>
  <c r="B24" i="2"/>
  <c r="B23" i="2"/>
  <c r="B22" i="2"/>
  <c r="B15" i="2"/>
  <c r="B9" i="6" s="1"/>
  <c r="C13" i="2"/>
  <c r="C7" i="6" s="1"/>
  <c r="M12" i="2"/>
  <c r="B12" i="6" s="1"/>
  <c r="G12" i="2"/>
  <c r="G4" i="6" s="1"/>
  <c r="F12" i="2"/>
  <c r="F4" i="6" s="1"/>
  <c r="E12" i="2"/>
  <c r="E4" i="6" s="1"/>
  <c r="D12" i="2"/>
  <c r="D4" i="6" s="1"/>
  <c r="C12" i="2"/>
  <c r="C4" i="6" s="1"/>
  <c r="L9" i="2"/>
  <c r="K9" i="2"/>
  <c r="J9" i="2"/>
  <c r="I9" i="2"/>
  <c r="H9" i="2"/>
  <c r="G9" i="2"/>
  <c r="F9" i="2"/>
  <c r="E9" i="2"/>
  <c r="D9" i="2"/>
  <c r="C9" i="2"/>
  <c r="M7" i="2"/>
  <c r="B7" i="2"/>
  <c r="C7" i="2" s="1"/>
  <c r="D7" i="2" s="1"/>
  <c r="E7" i="2" s="1"/>
  <c r="F7" i="2" s="1"/>
  <c r="G7" i="2" s="1"/>
  <c r="B6" i="2"/>
  <c r="L5" i="2"/>
  <c r="K5" i="2"/>
  <c r="J5" i="2"/>
  <c r="I5" i="2"/>
  <c r="H5" i="2"/>
  <c r="C5" i="2"/>
  <c r="G5" i="2" s="1"/>
  <c r="B4" i="2"/>
  <c r="M3" i="2"/>
  <c r="B13" i="6" s="1"/>
  <c r="G3" i="2"/>
  <c r="H3" i="2" s="1"/>
  <c r="F3" i="2"/>
  <c r="E3" i="2"/>
  <c r="D3" i="2"/>
  <c r="C3" i="2"/>
  <c r="D5" i="12" l="1"/>
  <c r="D7" i="12" s="1"/>
  <c r="O6" i="19"/>
  <c r="N6" i="19"/>
  <c r="D13" i="5"/>
  <c r="N5" i="19"/>
  <c r="E5" i="5"/>
  <c r="C13" i="3"/>
  <c r="C7" i="7" s="1"/>
  <c r="B18" i="13"/>
  <c r="B20" i="13" s="1"/>
  <c r="C4" i="2"/>
  <c r="D4" i="2" s="1"/>
  <c r="L3" i="4"/>
  <c r="H12" i="4"/>
  <c r="H3" i="5"/>
  <c r="G5" i="5"/>
  <c r="J3" i="4"/>
  <c r="K3" i="4"/>
  <c r="B8" i="2"/>
  <c r="B16" i="2" s="1"/>
  <c r="B5" i="4"/>
  <c r="H7" i="2"/>
  <c r="I7" i="2" s="1"/>
  <c r="J7" i="2" s="1"/>
  <c r="K7" i="2" s="1"/>
  <c r="L7" i="2" s="1"/>
  <c r="D3" i="7"/>
  <c r="C10" i="5"/>
  <c r="C15" i="5" s="1"/>
  <c r="E4" i="5"/>
  <c r="C5" i="9"/>
  <c r="C5" i="11"/>
  <c r="C7" i="11" s="1"/>
  <c r="D4" i="11"/>
  <c r="E4" i="11" s="1"/>
  <c r="F4" i="11" s="1"/>
  <c r="G4" i="11" s="1"/>
  <c r="H4" i="11" s="1"/>
  <c r="I4" i="11" s="1"/>
  <c r="J4" i="11" s="1"/>
  <c r="K4" i="11" s="1"/>
  <c r="L4" i="11" s="1"/>
  <c r="C6" i="17"/>
  <c r="D7" i="4"/>
  <c r="C25" i="15"/>
  <c r="C25" i="13"/>
  <c r="C6" i="16"/>
  <c r="C6" i="18"/>
  <c r="O4" i="19"/>
  <c r="N4" i="19"/>
  <c r="E5" i="12"/>
  <c r="E7" i="12" s="1"/>
  <c r="F3" i="12"/>
  <c r="O5" i="19"/>
  <c r="M5" i="2"/>
  <c r="C4" i="8"/>
  <c r="C13" i="4"/>
  <c r="D13" i="3"/>
  <c r="C25" i="14"/>
  <c r="B9" i="7"/>
  <c r="F3" i="11"/>
  <c r="C4" i="4"/>
  <c r="D5" i="2"/>
  <c r="I3" i="3"/>
  <c r="E4" i="12"/>
  <c r="F4" i="12" s="1"/>
  <c r="G4" i="12" s="1"/>
  <c r="H4" i="12" s="1"/>
  <c r="I4" i="12" s="1"/>
  <c r="J4" i="12" s="1"/>
  <c r="K4" i="12" s="1"/>
  <c r="L4" i="12" s="1"/>
  <c r="C24" i="13"/>
  <c r="H12" i="3"/>
  <c r="J3" i="2"/>
  <c r="K3" i="2"/>
  <c r="L3" i="2"/>
  <c r="D5" i="3"/>
  <c r="D6" i="3" s="1"/>
  <c r="D8" i="3" s="1"/>
  <c r="E5" i="2"/>
  <c r="J3" i="3"/>
  <c r="E5" i="3"/>
  <c r="I3" i="2"/>
  <c r="F5" i="2"/>
  <c r="C3" i="6"/>
  <c r="C5" i="6" s="1"/>
  <c r="O2" i="19"/>
  <c r="D13" i="2"/>
  <c r="H12" i="2"/>
  <c r="K3" i="3"/>
  <c r="L3" i="3"/>
  <c r="G5" i="3"/>
  <c r="D4" i="10"/>
  <c r="E4" i="10" s="1"/>
  <c r="F4" i="10" s="1"/>
  <c r="G4" i="10" s="1"/>
  <c r="H4" i="10" s="1"/>
  <c r="I4" i="10" s="1"/>
  <c r="J4" i="10" s="1"/>
  <c r="K4" i="10" s="1"/>
  <c r="L4" i="10" s="1"/>
  <c r="C5" i="10"/>
  <c r="C7" i="10" s="1"/>
  <c r="C6" i="3"/>
  <c r="C8" i="3" s="1"/>
  <c r="I3" i="4"/>
  <c r="B12" i="16"/>
  <c r="B12" i="17"/>
  <c r="B13" i="8"/>
  <c r="D5" i="7"/>
  <c r="B18" i="14"/>
  <c r="B20" i="14" s="1"/>
  <c r="O3" i="19"/>
  <c r="N3" i="19"/>
  <c r="B29" i="14"/>
  <c r="E4" i="3"/>
  <c r="B5" i="2"/>
  <c r="B5" i="3"/>
  <c r="L3" i="5"/>
  <c r="K3" i="5"/>
  <c r="I3" i="5"/>
  <c r="B13" i="9"/>
  <c r="B8" i="5"/>
  <c r="B16" i="5" s="1"/>
  <c r="B5" i="5"/>
  <c r="B12" i="8"/>
  <c r="I12" i="5"/>
  <c r="C3" i="8"/>
  <c r="B9" i="9"/>
  <c r="E3" i="10"/>
  <c r="B18" i="15"/>
  <c r="B20" i="15" s="1"/>
  <c r="C24" i="14"/>
  <c r="C24" i="15"/>
  <c r="B13" i="17"/>
  <c r="C3" i="9"/>
  <c r="C5" i="12"/>
  <c r="C7" i="12" s="1"/>
  <c r="C6" i="5"/>
  <c r="C8" i="5" s="1"/>
  <c r="B29" i="13"/>
  <c r="B13" i="18"/>
  <c r="D5" i="5"/>
  <c r="D6" i="5" s="1"/>
  <c r="D8" i="5" s="1"/>
  <c r="E13" i="5" l="1"/>
  <c r="D7" i="9"/>
  <c r="D6" i="2"/>
  <c r="D8" i="2" s="1"/>
  <c r="H4" i="8"/>
  <c r="I12" i="4"/>
  <c r="C6" i="2"/>
  <c r="C8" i="2" s="1"/>
  <c r="C26" i="13"/>
  <c r="C5" i="8"/>
  <c r="C26" i="14"/>
  <c r="D3" i="9"/>
  <c r="D5" i="9" s="1"/>
  <c r="I4" i="9"/>
  <c r="J12" i="5"/>
  <c r="H4" i="6"/>
  <c r="I12" i="2"/>
  <c r="C2" i="6"/>
  <c r="C6" i="6" s="1"/>
  <c r="C8" i="6" s="1"/>
  <c r="C16" i="2"/>
  <c r="D6" i="17"/>
  <c r="E7" i="4"/>
  <c r="D25" i="14"/>
  <c r="D6" i="16"/>
  <c r="D6" i="18"/>
  <c r="D25" i="15"/>
  <c r="D25" i="13"/>
  <c r="D7" i="6"/>
  <c r="E13" i="2"/>
  <c r="F4" i="5"/>
  <c r="D10" i="5"/>
  <c r="D15" i="5" s="1"/>
  <c r="C26" i="15"/>
  <c r="E4" i="2"/>
  <c r="E6" i="2" s="1"/>
  <c r="E8" i="2" s="1"/>
  <c r="C10" i="2"/>
  <c r="C15" i="2" s="1"/>
  <c r="D16" i="2" s="1"/>
  <c r="C2" i="9"/>
  <c r="C6" i="9" s="1"/>
  <c r="C8" i="9" s="1"/>
  <c r="C16" i="5"/>
  <c r="C11" i="5"/>
  <c r="C14" i="5" s="1"/>
  <c r="H4" i="7"/>
  <c r="I12" i="3"/>
  <c r="C2" i="16"/>
  <c r="C4" i="16" s="1"/>
  <c r="C2" i="18"/>
  <c r="C4" i="18" s="1"/>
  <c r="C2" i="17"/>
  <c r="C4" i="17" s="1"/>
  <c r="C21" i="15"/>
  <c r="C21" i="14"/>
  <c r="C21" i="13"/>
  <c r="D4" i="4"/>
  <c r="C6" i="4"/>
  <c r="D5" i="10"/>
  <c r="D7" i="10" s="1"/>
  <c r="E6" i="5"/>
  <c r="E8" i="5" s="1"/>
  <c r="D2" i="6"/>
  <c r="D2" i="7"/>
  <c r="D6" i="7" s="1"/>
  <c r="D16" i="3"/>
  <c r="G3" i="12"/>
  <c r="F5" i="12"/>
  <c r="F7" i="12" s="1"/>
  <c r="E5" i="11"/>
  <c r="E7" i="11" s="1"/>
  <c r="F4" i="3"/>
  <c r="D10" i="3"/>
  <c r="D15" i="3" s="1"/>
  <c r="E6" i="3"/>
  <c r="E8" i="3" s="1"/>
  <c r="D7" i="7"/>
  <c r="E13" i="3"/>
  <c r="D5" i="11"/>
  <c r="D7" i="11" s="1"/>
  <c r="G3" i="11"/>
  <c r="F5" i="11"/>
  <c r="F7" i="11" s="1"/>
  <c r="C2" i="7"/>
  <c r="C6" i="7" s="1"/>
  <c r="C8" i="7" s="1"/>
  <c r="C11" i="3"/>
  <c r="C14" i="3" s="1"/>
  <c r="C16" i="3"/>
  <c r="E5" i="10"/>
  <c r="E7" i="10" s="1"/>
  <c r="F3" i="10"/>
  <c r="D2" i="9"/>
  <c r="D16" i="5"/>
  <c r="D13" i="4"/>
  <c r="C8" i="18"/>
  <c r="C8" i="16"/>
  <c r="C8" i="17"/>
  <c r="C7" i="8"/>
  <c r="D11" i="5" l="1"/>
  <c r="D14" i="5" s="1"/>
  <c r="D6" i="9"/>
  <c r="D8" i="9" s="1"/>
  <c r="I4" i="8"/>
  <c r="J12" i="4"/>
  <c r="E7" i="9"/>
  <c r="F13" i="5"/>
  <c r="E3" i="9"/>
  <c r="E5" i="9" s="1"/>
  <c r="D8" i="17"/>
  <c r="E13" i="4"/>
  <c r="D7" i="8"/>
  <c r="D8" i="16"/>
  <c r="D8" i="18"/>
  <c r="E2" i="9"/>
  <c r="E6" i="9" s="1"/>
  <c r="E8" i="9" s="1"/>
  <c r="E16" i="5"/>
  <c r="F13" i="3"/>
  <c r="E7" i="7"/>
  <c r="I4" i="7"/>
  <c r="J12" i="3"/>
  <c r="C22" i="14"/>
  <c r="C8" i="4"/>
  <c r="C22" i="15"/>
  <c r="C22" i="13"/>
  <c r="D2" i="18"/>
  <c r="C10" i="4"/>
  <c r="C15" i="4" s="1"/>
  <c r="D2" i="17"/>
  <c r="D21" i="15"/>
  <c r="D21" i="14"/>
  <c r="D21" i="13"/>
  <c r="E4" i="4"/>
  <c r="D2" i="16"/>
  <c r="D6" i="4"/>
  <c r="E7" i="6"/>
  <c r="F13" i="2"/>
  <c r="J4" i="9"/>
  <c r="K12" i="5"/>
  <c r="E3" i="7"/>
  <c r="E5" i="7" s="1"/>
  <c r="D10" i="2"/>
  <c r="D11" i="2" s="1"/>
  <c r="D14" i="2" s="1"/>
  <c r="F4" i="2"/>
  <c r="E2" i="6"/>
  <c r="E6" i="17"/>
  <c r="F7" i="4"/>
  <c r="E25" i="15"/>
  <c r="E25" i="13"/>
  <c r="E6" i="16"/>
  <c r="E6" i="18"/>
  <c r="E25" i="14"/>
  <c r="C11" i="2"/>
  <c r="C14" i="2" s="1"/>
  <c r="G5" i="12"/>
  <c r="G7" i="12" s="1"/>
  <c r="H3" i="12"/>
  <c r="D8" i="7"/>
  <c r="E2" i="7"/>
  <c r="E16" i="3"/>
  <c r="D3" i="6"/>
  <c r="D5" i="6" s="1"/>
  <c r="D6" i="6" s="1"/>
  <c r="D8" i="6" s="1"/>
  <c r="E10" i="3"/>
  <c r="E15" i="3" s="1"/>
  <c r="G4" i="3"/>
  <c r="F6" i="3"/>
  <c r="F8" i="3" s="1"/>
  <c r="G3" i="10"/>
  <c r="F5" i="10"/>
  <c r="F7" i="10" s="1"/>
  <c r="I4" i="6"/>
  <c r="J12" i="2"/>
  <c r="G4" i="5"/>
  <c r="E10" i="5"/>
  <c r="E15" i="5" s="1"/>
  <c r="F6" i="5"/>
  <c r="F8" i="5" s="1"/>
  <c r="H3" i="11"/>
  <c r="G5" i="11"/>
  <c r="G7" i="11" s="1"/>
  <c r="D11" i="3"/>
  <c r="D14" i="3" s="1"/>
  <c r="E11" i="3" l="1"/>
  <c r="E14" i="3" s="1"/>
  <c r="F7" i="9"/>
  <c r="G13" i="5"/>
  <c r="K12" i="4"/>
  <c r="J4" i="8"/>
  <c r="F3" i="9"/>
  <c r="F5" i="9" s="1"/>
  <c r="H5" i="11"/>
  <c r="H7" i="11" s="1"/>
  <c r="I3" i="11"/>
  <c r="F7" i="7"/>
  <c r="G13" i="3"/>
  <c r="E2" i="16"/>
  <c r="E4" i="16" s="1"/>
  <c r="E7" i="16" s="1"/>
  <c r="E2" i="18"/>
  <c r="E4" i="18" s="1"/>
  <c r="E7" i="18" s="1"/>
  <c r="D10" i="4"/>
  <c r="D15" i="4" s="1"/>
  <c r="F4" i="4"/>
  <c r="E2" i="17"/>
  <c r="E4" i="17" s="1"/>
  <c r="E7" i="17" s="1"/>
  <c r="E9" i="17" s="1"/>
  <c r="E21" i="15"/>
  <c r="E21" i="14"/>
  <c r="E21" i="13"/>
  <c r="E6" i="4"/>
  <c r="D3" i="8"/>
  <c r="D5" i="8" s="1"/>
  <c r="L12" i="5"/>
  <c r="L4" i="9" s="1"/>
  <c r="K4" i="9"/>
  <c r="E7" i="8"/>
  <c r="E8" i="17"/>
  <c r="F13" i="4"/>
  <c r="E8" i="16"/>
  <c r="E8" i="18"/>
  <c r="F10" i="5"/>
  <c r="F15" i="5" s="1"/>
  <c r="H4" i="5"/>
  <c r="G6" i="5"/>
  <c r="G8" i="5" s="1"/>
  <c r="D4" i="17"/>
  <c r="D7" i="17" s="1"/>
  <c r="D9" i="17" s="1"/>
  <c r="C5" i="17"/>
  <c r="C7" i="17" s="1"/>
  <c r="C9" i="17" s="1"/>
  <c r="D5" i="17"/>
  <c r="G5" i="10"/>
  <c r="G7" i="10" s="1"/>
  <c r="H3" i="10"/>
  <c r="E10" i="2"/>
  <c r="E11" i="2" s="1"/>
  <c r="E14" i="2" s="1"/>
  <c r="G4" i="2"/>
  <c r="F6" i="2"/>
  <c r="F8" i="2" s="1"/>
  <c r="H5" i="12"/>
  <c r="H7" i="12" s="1"/>
  <c r="I3" i="12"/>
  <c r="F3" i="7"/>
  <c r="F5" i="7" s="1"/>
  <c r="H4" i="3"/>
  <c r="F10" i="3"/>
  <c r="F15" i="3" s="1"/>
  <c r="G6" i="3"/>
  <c r="G8" i="3" s="1"/>
  <c r="D15" i="2"/>
  <c r="F6" i="17"/>
  <c r="G7" i="4"/>
  <c r="F25" i="15"/>
  <c r="F25" i="14"/>
  <c r="F6" i="16"/>
  <c r="F6" i="18"/>
  <c r="F25" i="13"/>
  <c r="F7" i="6"/>
  <c r="G13" i="2"/>
  <c r="K12" i="3"/>
  <c r="J4" i="7"/>
  <c r="F16" i="5"/>
  <c r="F2" i="9"/>
  <c r="F6" i="9" s="1"/>
  <c r="F8" i="9" s="1"/>
  <c r="E11" i="5"/>
  <c r="E14" i="5" s="1"/>
  <c r="F11" i="3"/>
  <c r="F14" i="3" s="1"/>
  <c r="F2" i="7"/>
  <c r="F16" i="3"/>
  <c r="C16" i="4"/>
  <c r="C11" i="4"/>
  <c r="C2" i="8"/>
  <c r="C6" i="8" s="1"/>
  <c r="C8" i="8" s="1"/>
  <c r="D4" i="16"/>
  <c r="D5" i="16"/>
  <c r="C5" i="16"/>
  <c r="C7" i="16" s="1"/>
  <c r="C9" i="16" s="1"/>
  <c r="J4" i="6"/>
  <c r="K12" i="2"/>
  <c r="C5" i="18"/>
  <c r="C7" i="18" s="1"/>
  <c r="C9" i="18" s="1"/>
  <c r="D4" i="18"/>
  <c r="D5" i="18"/>
  <c r="E6" i="7"/>
  <c r="E8" i="7" s="1"/>
  <c r="D22" i="15"/>
  <c r="D22" i="13"/>
  <c r="D8" i="4"/>
  <c r="D22" i="14"/>
  <c r="L12" i="4" l="1"/>
  <c r="L4" i="8" s="1"/>
  <c r="K4" i="8"/>
  <c r="H13" i="5"/>
  <c r="G7" i="9"/>
  <c r="F11" i="5"/>
  <c r="F14" i="5" s="1"/>
  <c r="G3" i="9"/>
  <c r="G5" i="9" s="1"/>
  <c r="E3" i="8"/>
  <c r="E5" i="8" s="1"/>
  <c r="G3" i="7"/>
  <c r="G5" i="7" s="1"/>
  <c r="E9" i="16"/>
  <c r="G2" i="9"/>
  <c r="G6" i="9" s="1"/>
  <c r="G8" i="9" s="1"/>
  <c r="G16" i="5"/>
  <c r="K4" i="7"/>
  <c r="L12" i="3"/>
  <c r="I5" i="12"/>
  <c r="I7" i="12" s="1"/>
  <c r="J3" i="12"/>
  <c r="F10" i="2"/>
  <c r="H4" i="2"/>
  <c r="G6" i="2"/>
  <c r="G8" i="2" s="1"/>
  <c r="C23" i="14"/>
  <c r="C27" i="14" s="1"/>
  <c r="C23" i="13"/>
  <c r="C27" i="13" s="1"/>
  <c r="C14" i="4"/>
  <c r="C23" i="15"/>
  <c r="C27" i="15" s="1"/>
  <c r="I4" i="3"/>
  <c r="H6" i="3"/>
  <c r="H8" i="3" s="1"/>
  <c r="G10" i="3"/>
  <c r="G15" i="3" s="1"/>
  <c r="D7" i="16"/>
  <c r="D9" i="16" s="1"/>
  <c r="E10" i="4"/>
  <c r="E15" i="4" s="1"/>
  <c r="F21" i="14"/>
  <c r="F21" i="13"/>
  <c r="F2" i="16"/>
  <c r="F4" i="16" s="1"/>
  <c r="F7" i="16" s="1"/>
  <c r="F2" i="17"/>
  <c r="F4" i="17" s="1"/>
  <c r="F7" i="17" s="1"/>
  <c r="F2" i="18"/>
  <c r="F4" i="18" s="1"/>
  <c r="F7" i="18" s="1"/>
  <c r="G4" i="4"/>
  <c r="F21" i="15"/>
  <c r="F6" i="4"/>
  <c r="E9" i="18"/>
  <c r="G25" i="15"/>
  <c r="G25" i="14"/>
  <c r="G25" i="13"/>
  <c r="G6" i="18"/>
  <c r="H7" i="4"/>
  <c r="G6" i="17"/>
  <c r="G6" i="16"/>
  <c r="I3" i="10"/>
  <c r="H5" i="10"/>
  <c r="H7" i="10" s="1"/>
  <c r="G7" i="6"/>
  <c r="H13" i="2"/>
  <c r="G13" i="4"/>
  <c r="F7" i="8"/>
  <c r="F8" i="16"/>
  <c r="F8" i="18"/>
  <c r="F8" i="17"/>
  <c r="I4" i="5"/>
  <c r="G10" i="5"/>
  <c r="G15" i="5" s="1"/>
  <c r="H6" i="5"/>
  <c r="H8" i="5" s="1"/>
  <c r="D16" i="4"/>
  <c r="D2" i="8"/>
  <c r="D6" i="8" s="1"/>
  <c r="D8" i="8" s="1"/>
  <c r="D11" i="4"/>
  <c r="J3" i="11"/>
  <c r="I5" i="11"/>
  <c r="I7" i="11" s="1"/>
  <c r="D7" i="18"/>
  <c r="D9" i="18" s="1"/>
  <c r="E3" i="6"/>
  <c r="E5" i="6" s="1"/>
  <c r="E6" i="6" s="1"/>
  <c r="E8" i="6" s="1"/>
  <c r="E15" i="2"/>
  <c r="E16" i="2"/>
  <c r="G16" i="3"/>
  <c r="G2" i="7"/>
  <c r="F2" i="6"/>
  <c r="F11" i="2"/>
  <c r="F14" i="2" s="1"/>
  <c r="H13" i="3"/>
  <c r="G7" i="7"/>
  <c r="F6" i="7"/>
  <c r="F8" i="7" s="1"/>
  <c r="K4" i="6"/>
  <c r="L12" i="2"/>
  <c r="E22" i="15"/>
  <c r="E22" i="14"/>
  <c r="E8" i="4"/>
  <c r="E22" i="13"/>
  <c r="I13" i="5" l="1"/>
  <c r="H7" i="9"/>
  <c r="G6" i="7"/>
  <c r="G8" i="7" s="1"/>
  <c r="H3" i="7"/>
  <c r="H5" i="7" s="1"/>
  <c r="H3" i="9"/>
  <c r="H5" i="9" s="1"/>
  <c r="H16" i="5"/>
  <c r="H2" i="9"/>
  <c r="H6" i="9" s="1"/>
  <c r="H8" i="9" s="1"/>
  <c r="G11" i="5"/>
  <c r="G14" i="5" s="1"/>
  <c r="H2" i="7"/>
  <c r="H6" i="7" s="1"/>
  <c r="H8" i="7" s="1"/>
  <c r="H16" i="3"/>
  <c r="G7" i="8"/>
  <c r="G8" i="16"/>
  <c r="G8" i="17"/>
  <c r="H13" i="4"/>
  <c r="G8" i="18"/>
  <c r="E16" i="4"/>
  <c r="E2" i="8"/>
  <c r="E6" i="8" s="1"/>
  <c r="E8" i="8" s="1"/>
  <c r="E11" i="4"/>
  <c r="B17" i="2"/>
  <c r="L4" i="6"/>
  <c r="G2" i="6"/>
  <c r="G16" i="2"/>
  <c r="F6" i="6"/>
  <c r="F8" i="6" s="1"/>
  <c r="G11" i="3"/>
  <c r="G14" i="3" s="1"/>
  <c r="C28" i="13"/>
  <c r="C29" i="13" s="1"/>
  <c r="C28" i="14"/>
  <c r="C29" i="14" s="1"/>
  <c r="C30" i="14"/>
  <c r="G2" i="18"/>
  <c r="G4" i="18" s="1"/>
  <c r="G7" i="18" s="1"/>
  <c r="G9" i="18" s="1"/>
  <c r="F10" i="4"/>
  <c r="H4" i="4"/>
  <c r="G2" i="17"/>
  <c r="G4" i="17" s="1"/>
  <c r="G7" i="17" s="1"/>
  <c r="G21" i="15"/>
  <c r="G21" i="13"/>
  <c r="G2" i="16"/>
  <c r="G4" i="16" s="1"/>
  <c r="G7" i="16" s="1"/>
  <c r="G21" i="14"/>
  <c r="G6" i="4"/>
  <c r="F9" i="16"/>
  <c r="I4" i="2"/>
  <c r="G10" i="2"/>
  <c r="G11" i="2" s="1"/>
  <c r="G14" i="2" s="1"/>
  <c r="H6" i="2"/>
  <c r="H8" i="2" s="1"/>
  <c r="I6" i="3"/>
  <c r="I8" i="3" s="1"/>
  <c r="H10" i="3"/>
  <c r="H15" i="3" s="1"/>
  <c r="J4" i="3"/>
  <c r="C28" i="15"/>
  <c r="C29" i="15" s="1"/>
  <c r="I13" i="2"/>
  <c r="H7" i="6"/>
  <c r="F3" i="8"/>
  <c r="F5" i="8" s="1"/>
  <c r="F15" i="4"/>
  <c r="F9" i="17"/>
  <c r="D23" i="15"/>
  <c r="D23" i="13"/>
  <c r="D14" i="4"/>
  <c r="D23" i="14"/>
  <c r="B17" i="3"/>
  <c r="L4" i="7"/>
  <c r="F9" i="18"/>
  <c r="I5" i="10"/>
  <c r="I7" i="10" s="1"/>
  <c r="J3" i="10"/>
  <c r="J5" i="11"/>
  <c r="J7" i="11" s="1"/>
  <c r="K3" i="11"/>
  <c r="H7" i="7"/>
  <c r="I13" i="3"/>
  <c r="H6" i="17"/>
  <c r="I7" i="4"/>
  <c r="H6" i="16"/>
  <c r="H6" i="18"/>
  <c r="J5" i="12"/>
  <c r="J7" i="12" s="1"/>
  <c r="K3" i="12"/>
  <c r="H10" i="5"/>
  <c r="H15" i="5" s="1"/>
  <c r="I6" i="5"/>
  <c r="I8" i="5" s="1"/>
  <c r="J4" i="5"/>
  <c r="F22" i="15"/>
  <c r="F22" i="14"/>
  <c r="F22" i="13"/>
  <c r="F8" i="4"/>
  <c r="F15" i="2"/>
  <c r="F3" i="6"/>
  <c r="F5" i="6" s="1"/>
  <c r="F16" i="2"/>
  <c r="H11" i="3" l="1"/>
  <c r="H14" i="3" s="1"/>
  <c r="H11" i="5"/>
  <c r="H14" i="5" s="1"/>
  <c r="G9" i="16"/>
  <c r="G9" i="17"/>
  <c r="J13" i="5"/>
  <c r="I7" i="9"/>
  <c r="I3" i="7"/>
  <c r="I5" i="7" s="1"/>
  <c r="G3" i="8"/>
  <c r="G5" i="8" s="1"/>
  <c r="I7" i="7"/>
  <c r="J13" i="3"/>
  <c r="I4" i="4"/>
  <c r="H2" i="16"/>
  <c r="H4" i="16" s="1"/>
  <c r="H7" i="16" s="1"/>
  <c r="H9" i="16" s="1"/>
  <c r="H2" i="18"/>
  <c r="H4" i="18" s="1"/>
  <c r="H7" i="18" s="1"/>
  <c r="H9" i="18" s="1"/>
  <c r="H2" i="17"/>
  <c r="H4" i="17" s="1"/>
  <c r="H7" i="17" s="1"/>
  <c r="H9" i="17" s="1"/>
  <c r="G10" i="4"/>
  <c r="G15" i="4" s="1"/>
  <c r="H6" i="4"/>
  <c r="H8" i="4" s="1"/>
  <c r="G3" i="6"/>
  <c r="G5" i="6" s="1"/>
  <c r="G15" i="2"/>
  <c r="D24" i="15"/>
  <c r="D26" i="15" s="1"/>
  <c r="F2" i="8"/>
  <c r="F6" i="8" s="1"/>
  <c r="F8" i="8" s="1"/>
  <c r="F11" i="4"/>
  <c r="F16" i="4"/>
  <c r="K5" i="11"/>
  <c r="K7" i="11" s="1"/>
  <c r="L3" i="11"/>
  <c r="J13" i="2"/>
  <c r="I7" i="6"/>
  <c r="I3" i="9"/>
  <c r="I5" i="9" s="1"/>
  <c r="J5" i="10"/>
  <c r="J7" i="10" s="1"/>
  <c r="K3" i="10"/>
  <c r="D24" i="14"/>
  <c r="D26" i="14" s="1"/>
  <c r="D27" i="14" s="1"/>
  <c r="H8" i="16"/>
  <c r="H8" i="18"/>
  <c r="H8" i="17"/>
  <c r="I13" i="4"/>
  <c r="H7" i="8"/>
  <c r="G6" i="6"/>
  <c r="G8" i="6" s="1"/>
  <c r="B14" i="6"/>
  <c r="I10" i="5"/>
  <c r="I15" i="5" s="1"/>
  <c r="K4" i="5"/>
  <c r="J6" i="5"/>
  <c r="J8" i="5" s="1"/>
  <c r="I16" i="5"/>
  <c r="I2" i="9"/>
  <c r="I11" i="5"/>
  <c r="I14" i="5" s="1"/>
  <c r="H2" i="6"/>
  <c r="H16" i="2"/>
  <c r="C30" i="13"/>
  <c r="G22" i="15"/>
  <c r="B32" i="15" s="1"/>
  <c r="G22" i="14"/>
  <c r="B32" i="14" s="1"/>
  <c r="G22" i="13"/>
  <c r="B32" i="13" s="1"/>
  <c r="G8" i="4"/>
  <c r="D27" i="15"/>
  <c r="D28" i="15" s="1"/>
  <c r="D29" i="15" s="1"/>
  <c r="I6" i="17"/>
  <c r="I6" i="18"/>
  <c r="J7" i="4"/>
  <c r="I6" i="16"/>
  <c r="C30" i="15"/>
  <c r="D24" i="13"/>
  <c r="D26" i="13" s="1"/>
  <c r="D27" i="13" s="1"/>
  <c r="D28" i="13" s="1"/>
  <c r="D29" i="13" s="1"/>
  <c r="E23" i="14"/>
  <c r="E23" i="15"/>
  <c r="E14" i="4"/>
  <c r="E23" i="13"/>
  <c r="I10" i="3"/>
  <c r="I15" i="3" s="1"/>
  <c r="J6" i="3"/>
  <c r="J8" i="3" s="1"/>
  <c r="K4" i="3"/>
  <c r="I16" i="3"/>
  <c r="I2" i="7"/>
  <c r="B14" i="7"/>
  <c r="L3" i="12"/>
  <c r="K5" i="12"/>
  <c r="K7" i="12" s="1"/>
  <c r="I6" i="2"/>
  <c r="I8" i="2" s="1"/>
  <c r="H10" i="2"/>
  <c r="H11" i="2" s="1"/>
  <c r="H14" i="2" s="1"/>
  <c r="J4" i="2"/>
  <c r="I6" i="7" l="1"/>
  <c r="K13" i="5"/>
  <c r="J7" i="9"/>
  <c r="I11" i="3"/>
  <c r="I14" i="3" s="1"/>
  <c r="E24" i="15"/>
  <c r="E26" i="15" s="1"/>
  <c r="E27" i="15" s="1"/>
  <c r="E28" i="15" s="1"/>
  <c r="E29" i="15" s="1"/>
  <c r="J3" i="7"/>
  <c r="J5" i="7" s="1"/>
  <c r="H3" i="8"/>
  <c r="H5" i="8" s="1"/>
  <c r="E24" i="13"/>
  <c r="E26" i="13" s="1"/>
  <c r="D28" i="14"/>
  <c r="D29" i="14" s="1"/>
  <c r="D30" i="14"/>
  <c r="J3" i="9"/>
  <c r="J5" i="9" s="1"/>
  <c r="J2" i="7"/>
  <c r="J6" i="7" s="1"/>
  <c r="J8" i="7" s="1"/>
  <c r="J11" i="3"/>
  <c r="J14" i="3" s="1"/>
  <c r="J16" i="3"/>
  <c r="I7" i="8"/>
  <c r="I8" i="16"/>
  <c r="I8" i="18"/>
  <c r="I8" i="17"/>
  <c r="J13" i="4"/>
  <c r="D30" i="13"/>
  <c r="J7" i="6"/>
  <c r="K13" i="2"/>
  <c r="G16" i="4"/>
  <c r="G2" i="8"/>
  <c r="G6" i="8" s="1"/>
  <c r="G8" i="8" s="1"/>
  <c r="G11" i="4"/>
  <c r="E27" i="13"/>
  <c r="E28" i="13" s="1"/>
  <c r="E29" i="13" s="1"/>
  <c r="B13" i="11"/>
  <c r="B14" i="11" s="1"/>
  <c r="B15" i="11" s="1"/>
  <c r="L5" i="11"/>
  <c r="L7" i="11" s="1"/>
  <c r="B16" i="11" s="1"/>
  <c r="I10" i="2"/>
  <c r="I11" i="2" s="1"/>
  <c r="I14" i="2" s="1"/>
  <c r="K4" i="2"/>
  <c r="J6" i="2"/>
  <c r="J8" i="2" s="1"/>
  <c r="J7" i="7"/>
  <c r="K13" i="3"/>
  <c r="H3" i="6"/>
  <c r="H5" i="6" s="1"/>
  <c r="H6" i="6" s="1"/>
  <c r="H8" i="6" s="1"/>
  <c r="H15" i="2"/>
  <c r="J10" i="3"/>
  <c r="J15" i="3" s="1"/>
  <c r="L4" i="3"/>
  <c r="K6" i="3"/>
  <c r="K8" i="3" s="1"/>
  <c r="L5" i="12"/>
  <c r="L7" i="12" s="1"/>
  <c r="B16" i="12" s="1"/>
  <c r="B13" i="12"/>
  <c r="B14" i="12" s="1"/>
  <c r="B15" i="12" s="1"/>
  <c r="I6" i="9"/>
  <c r="I8" i="9" s="1"/>
  <c r="J16" i="5"/>
  <c r="J2" i="9"/>
  <c r="H10" i="4"/>
  <c r="H15" i="4" s="1"/>
  <c r="J4" i="4"/>
  <c r="I2" i="17"/>
  <c r="I4" i="17" s="1"/>
  <c r="I7" i="17" s="1"/>
  <c r="I9" i="17" s="1"/>
  <c r="I2" i="16"/>
  <c r="I4" i="16" s="1"/>
  <c r="I7" i="16" s="1"/>
  <c r="I2" i="18"/>
  <c r="I4" i="18" s="1"/>
  <c r="I7" i="18" s="1"/>
  <c r="I9" i="18" s="1"/>
  <c r="I6" i="4"/>
  <c r="I8" i="4" s="1"/>
  <c r="F23" i="13"/>
  <c r="F14" i="4"/>
  <c r="F23" i="15"/>
  <c r="F23" i="14"/>
  <c r="I16" i="2"/>
  <c r="I2" i="6"/>
  <c r="J6" i="16"/>
  <c r="J6" i="18"/>
  <c r="J6" i="17"/>
  <c r="K7" i="4"/>
  <c r="J10" i="5"/>
  <c r="J11" i="5" s="1"/>
  <c r="J14" i="5" s="1"/>
  <c r="L4" i="5"/>
  <c r="K6" i="5"/>
  <c r="K8" i="5" s="1"/>
  <c r="D30" i="15"/>
  <c r="K5" i="10"/>
  <c r="K7" i="10" s="1"/>
  <c r="L3" i="10"/>
  <c r="I8" i="7"/>
  <c r="H2" i="8"/>
  <c r="H6" i="8" s="1"/>
  <c r="H8" i="8" s="1"/>
  <c r="H16" i="4"/>
  <c r="J15" i="5" l="1"/>
  <c r="H11" i="4"/>
  <c r="H14" i="4" s="1"/>
  <c r="E30" i="15"/>
  <c r="K7" i="9"/>
  <c r="L13" i="5"/>
  <c r="L7" i="9" s="1"/>
  <c r="I9" i="16"/>
  <c r="F24" i="15"/>
  <c r="F26" i="15" s="1"/>
  <c r="F27" i="15" s="1"/>
  <c r="F24" i="13"/>
  <c r="F26" i="13" s="1"/>
  <c r="F27" i="13" s="1"/>
  <c r="F28" i="13" s="1"/>
  <c r="F29" i="13" s="1"/>
  <c r="K3" i="7"/>
  <c r="K5" i="7" s="1"/>
  <c r="K3" i="9"/>
  <c r="K5" i="9" s="1"/>
  <c r="K15" i="5"/>
  <c r="L5" i="10"/>
  <c r="L7" i="10" s="1"/>
  <c r="B16" i="10" s="1"/>
  <c r="B13" i="10"/>
  <c r="B14" i="10" s="1"/>
  <c r="B15" i="10" s="1"/>
  <c r="I3" i="6"/>
  <c r="I5" i="6" s="1"/>
  <c r="I6" i="6" s="1"/>
  <c r="I8" i="6" s="1"/>
  <c r="I15" i="2"/>
  <c r="J16" i="2" s="1"/>
  <c r="E30" i="14"/>
  <c r="B17" i="12"/>
  <c r="E24" i="14"/>
  <c r="E26" i="14" s="1"/>
  <c r="E27" i="14" s="1"/>
  <c r="E28" i="14" s="1"/>
  <c r="E29" i="14" s="1"/>
  <c r="K7" i="7"/>
  <c r="L13" i="3"/>
  <c r="L7" i="7" s="1"/>
  <c r="J10" i="2"/>
  <c r="J11" i="2" s="1"/>
  <c r="J14" i="2" s="1"/>
  <c r="L4" i="2"/>
  <c r="K6" i="2"/>
  <c r="K8" i="2" s="1"/>
  <c r="K2" i="7"/>
  <c r="K6" i="7" s="1"/>
  <c r="K8" i="7" s="1"/>
  <c r="K16" i="3"/>
  <c r="M4" i="3"/>
  <c r="K10" i="3"/>
  <c r="K11" i="3" s="1"/>
  <c r="K14" i="3" s="1"/>
  <c r="L6" i="3"/>
  <c r="L8" i="3" s="1"/>
  <c r="L13" i="2"/>
  <c r="L7" i="6" s="1"/>
  <c r="K7" i="6"/>
  <c r="I2" i="8"/>
  <c r="I16" i="4"/>
  <c r="E30" i="13"/>
  <c r="I3" i="8"/>
  <c r="I5" i="8" s="1"/>
  <c r="K6" i="16"/>
  <c r="K6" i="17"/>
  <c r="L7" i="4"/>
  <c r="K6" i="18"/>
  <c r="J6" i="9"/>
  <c r="J8" i="9" s="1"/>
  <c r="G23" i="15"/>
  <c r="G23" i="14"/>
  <c r="G23" i="13"/>
  <c r="G14" i="4"/>
  <c r="K2" i="9"/>
  <c r="K16" i="5"/>
  <c r="K10" i="5"/>
  <c r="K11" i="5" s="1"/>
  <c r="K14" i="5" s="1"/>
  <c r="M4" i="5"/>
  <c r="L6" i="5"/>
  <c r="L8" i="5" s="1"/>
  <c r="J8" i="18"/>
  <c r="J8" i="17"/>
  <c r="K13" i="4"/>
  <c r="J7" i="8"/>
  <c r="J8" i="16"/>
  <c r="K4" i="4"/>
  <c r="J2" i="17"/>
  <c r="J4" i="17" s="1"/>
  <c r="J7" i="17" s="1"/>
  <c r="J9" i="17" s="1"/>
  <c r="J2" i="16"/>
  <c r="J4" i="16" s="1"/>
  <c r="J7" i="16" s="1"/>
  <c r="J9" i="16" s="1"/>
  <c r="J2" i="18"/>
  <c r="J4" i="18" s="1"/>
  <c r="J7" i="18" s="1"/>
  <c r="J6" i="4"/>
  <c r="J8" i="4" s="1"/>
  <c r="I10" i="4"/>
  <c r="I11" i="4" s="1"/>
  <c r="I14" i="4" s="1"/>
  <c r="J2" i="6"/>
  <c r="B17" i="11"/>
  <c r="F28" i="15" l="1"/>
  <c r="F29" i="15" s="1"/>
  <c r="F30" i="15"/>
  <c r="I15" i="4"/>
  <c r="J3" i="8" s="1"/>
  <c r="J5" i="8" s="1"/>
  <c r="G24" i="13"/>
  <c r="G26" i="13" s="1"/>
  <c r="G27" i="13" s="1"/>
  <c r="G28" i="13" s="1"/>
  <c r="G29" i="13" s="1"/>
  <c r="F24" i="14"/>
  <c r="F26" i="14" s="1"/>
  <c r="F27" i="14" s="1"/>
  <c r="F28" i="14" s="1"/>
  <c r="F29" i="14" s="1"/>
  <c r="G24" i="15"/>
  <c r="G26" i="15" s="1"/>
  <c r="F30" i="14"/>
  <c r="K8" i="16"/>
  <c r="K8" i="18"/>
  <c r="K8" i="17"/>
  <c r="L13" i="4"/>
  <c r="K7" i="8"/>
  <c r="G27" i="15"/>
  <c r="G28" i="15" s="1"/>
  <c r="G29" i="15" s="1"/>
  <c r="B33" i="15" s="1"/>
  <c r="B34" i="15" s="1"/>
  <c r="B35" i="15" s="1"/>
  <c r="B37" i="15" s="1"/>
  <c r="G30" i="15"/>
  <c r="L10" i="3"/>
  <c r="L11" i="3" s="1"/>
  <c r="L14" i="3" s="1"/>
  <c r="B20" i="3" s="1"/>
  <c r="M6" i="3"/>
  <c r="M8" i="3" s="1"/>
  <c r="L10" i="5"/>
  <c r="M6" i="5"/>
  <c r="M8" i="5" s="1"/>
  <c r="K2" i="17"/>
  <c r="K4" i="17" s="1"/>
  <c r="K7" i="17" s="1"/>
  <c r="K2" i="16"/>
  <c r="K4" i="16" s="1"/>
  <c r="K7" i="16" s="1"/>
  <c r="K2" i="18"/>
  <c r="K4" i="18" s="1"/>
  <c r="K7" i="18" s="1"/>
  <c r="L4" i="4"/>
  <c r="K6" i="4"/>
  <c r="K8" i="4" s="1"/>
  <c r="J10" i="4"/>
  <c r="J15" i="4" s="1"/>
  <c r="B17" i="10"/>
  <c r="K10" i="2"/>
  <c r="K11" i="2" s="1"/>
  <c r="K14" i="2" s="1"/>
  <c r="M4" i="2"/>
  <c r="L6" i="2"/>
  <c r="L8" i="2" s="1"/>
  <c r="K15" i="3"/>
  <c r="L16" i="3" s="1"/>
  <c r="L2" i="7"/>
  <c r="J3" i="6"/>
  <c r="J5" i="6" s="1"/>
  <c r="J6" i="6" s="1"/>
  <c r="J8" i="6" s="1"/>
  <c r="J15" i="2"/>
  <c r="L6" i="16"/>
  <c r="L6" i="18"/>
  <c r="L6" i="17"/>
  <c r="L15" i="5"/>
  <c r="B15" i="9" s="1"/>
  <c r="L3" i="9"/>
  <c r="L5" i="9" s="1"/>
  <c r="K6" i="9"/>
  <c r="K8" i="9" s="1"/>
  <c r="K16" i="2"/>
  <c r="K2" i="6"/>
  <c r="L16" i="5"/>
  <c r="L2" i="9"/>
  <c r="L11" i="5"/>
  <c r="L14" i="5" s="1"/>
  <c r="B20" i="5" s="1"/>
  <c r="F30" i="13"/>
  <c r="I6" i="8"/>
  <c r="I8" i="8" s="1"/>
  <c r="J2" i="8"/>
  <c r="J9" i="18"/>
  <c r="K9" i="18" l="1"/>
  <c r="K9" i="16"/>
  <c r="J6" i="8"/>
  <c r="J8" i="8" s="1"/>
  <c r="J16" i="4"/>
  <c r="K3" i="8"/>
  <c r="K5" i="8" s="1"/>
  <c r="G24" i="14"/>
  <c r="G26" i="14" s="1"/>
  <c r="G27" i="14" s="1"/>
  <c r="G28" i="14" s="1"/>
  <c r="G29" i="14" s="1"/>
  <c r="L10" i="2"/>
  <c r="M6" i="2"/>
  <c r="M8" i="2" s="1"/>
  <c r="K6" i="6"/>
  <c r="K8" i="6" s="1"/>
  <c r="L2" i="6"/>
  <c r="L16" i="2"/>
  <c r="L11" i="2"/>
  <c r="L14" i="2" s="1"/>
  <c r="B20" i="2" s="1"/>
  <c r="K2" i="8"/>
  <c r="K6" i="8" s="1"/>
  <c r="K8" i="8" s="1"/>
  <c r="K16" i="4"/>
  <c r="K9" i="17"/>
  <c r="J11" i="4"/>
  <c r="J14" i="4" s="1"/>
  <c r="K3" i="6"/>
  <c r="K5" i="6" s="1"/>
  <c r="K15" i="2"/>
  <c r="L7" i="8"/>
  <c r="L8" i="16"/>
  <c r="L8" i="17"/>
  <c r="L8" i="18"/>
  <c r="B11" i="7"/>
  <c r="M10" i="3"/>
  <c r="M11" i="3" s="1"/>
  <c r="B18" i="3" s="1"/>
  <c r="B19" i="3" s="1"/>
  <c r="M4" i="4"/>
  <c r="L2" i="17"/>
  <c r="L4" i="17" s="1"/>
  <c r="L2" i="16"/>
  <c r="L4" i="16" s="1"/>
  <c r="L2" i="18"/>
  <c r="L4" i="18" s="1"/>
  <c r="K10" i="4"/>
  <c r="K15" i="4" s="1"/>
  <c r="L6" i="4"/>
  <c r="L8" i="4" s="1"/>
  <c r="G30" i="14"/>
  <c r="G30" i="13"/>
  <c r="B33" i="13" s="1"/>
  <c r="B34" i="13" s="1"/>
  <c r="B35" i="13" s="1"/>
  <c r="B37" i="13" s="1"/>
  <c r="B11" i="9"/>
  <c r="M10" i="5"/>
  <c r="M11" i="5" s="1"/>
  <c r="B18" i="5" s="1"/>
  <c r="B19" i="5" s="1"/>
  <c r="L6" i="9"/>
  <c r="L8" i="9" s="1"/>
  <c r="B10" i="9" s="1"/>
  <c r="L3" i="7"/>
  <c r="L5" i="7" s="1"/>
  <c r="L6" i="7" s="1"/>
  <c r="L8" i="7" s="1"/>
  <c r="B10" i="7" s="1"/>
  <c r="L15" i="3"/>
  <c r="B15" i="7" s="1"/>
  <c r="B33" i="14" l="1"/>
  <c r="B34" i="14" s="1"/>
  <c r="B35" i="14" s="1"/>
  <c r="B37" i="14" s="1"/>
  <c r="B21" i="5"/>
  <c r="B31" i="5"/>
  <c r="B21" i="3"/>
  <c r="L3" i="8"/>
  <c r="L5" i="8" s="1"/>
  <c r="K11" i="4"/>
  <c r="K14" i="4" s="1"/>
  <c r="L10" i="4"/>
  <c r="L15" i="4" s="1"/>
  <c r="B15" i="8" s="1"/>
  <c r="M6" i="4"/>
  <c r="M8" i="4" s="1"/>
  <c r="L16" i="4"/>
  <c r="L2" i="8"/>
  <c r="L6" i="8" s="1"/>
  <c r="L8" i="8" s="1"/>
  <c r="B10" i="8" s="1"/>
  <c r="L11" i="4"/>
  <c r="L14" i="4" s="1"/>
  <c r="B20" i="4" s="1"/>
  <c r="B14" i="16"/>
  <c r="B15" i="16" s="1"/>
  <c r="L7" i="16"/>
  <c r="L9" i="16" s="1"/>
  <c r="B16" i="16" s="1"/>
  <c r="B17" i="16" s="1"/>
  <c r="B19" i="16" s="1"/>
  <c r="B17" i="7"/>
  <c r="B16" i="7"/>
  <c r="B14" i="18"/>
  <c r="B15" i="18" s="1"/>
  <c r="L7" i="18"/>
  <c r="L9" i="18" s="1"/>
  <c r="B16" i="18" s="1"/>
  <c r="L7" i="17"/>
  <c r="L9" i="17" s="1"/>
  <c r="B16" i="17" s="1"/>
  <c r="B14" i="17"/>
  <c r="B15" i="17" s="1"/>
  <c r="B11" i="6"/>
  <c r="M10" i="2"/>
  <c r="M11" i="2" s="1"/>
  <c r="B18" i="2" s="1"/>
  <c r="B19" i="2" s="1"/>
  <c r="B16" i="9"/>
  <c r="B17" i="9"/>
  <c r="L3" i="6"/>
  <c r="L5" i="6" s="1"/>
  <c r="L6" i="6" s="1"/>
  <c r="L8" i="6" s="1"/>
  <c r="B10" i="6" s="1"/>
  <c r="L15" i="2"/>
  <c r="B15" i="6" s="1"/>
  <c r="B17" i="18" l="1"/>
  <c r="B19" i="18" s="1"/>
  <c r="B21" i="2"/>
  <c r="B11" i="8"/>
  <c r="M10" i="4"/>
  <c r="M11" i="4" s="1"/>
  <c r="B18" i="4" s="1"/>
  <c r="B19" i="4" s="1"/>
  <c r="B17" i="6"/>
  <c r="B16" i="6"/>
  <c r="B18" i="6" s="1"/>
  <c r="B19" i="6" s="1"/>
  <c r="B20" i="6" s="1"/>
  <c r="B18" i="9"/>
  <c r="B19" i="9" s="1"/>
  <c r="B20" i="9" s="1"/>
  <c r="B21" i="7"/>
  <c r="B26" i="3"/>
  <c r="B28" i="3" s="1"/>
  <c r="B30" i="3" s="1"/>
  <c r="B17" i="17"/>
  <c r="B19" i="17" s="1"/>
  <c r="B31" i="3"/>
  <c r="B21" i="9"/>
  <c r="B26" i="5"/>
  <c r="B28" i="5" s="1"/>
  <c r="B30" i="5" s="1"/>
  <c r="B18" i="7"/>
  <c r="B19" i="7" s="1"/>
  <c r="B20" i="7" s="1"/>
  <c r="B22" i="9" l="1"/>
  <c r="B21" i="4"/>
  <c r="B17" i="8"/>
  <c r="B16" i="8"/>
  <c r="B18" i="8" s="1"/>
  <c r="B19" i="8" s="1"/>
  <c r="B20" i="8" s="1"/>
  <c r="B21" i="6"/>
  <c r="B22" i="6" s="1"/>
  <c r="B26" i="2"/>
  <c r="B28" i="2" s="1"/>
  <c r="B30" i="2" s="1"/>
  <c r="B31" i="2"/>
  <c r="B22" i="7"/>
  <c r="B26" i="4" l="1"/>
  <c r="B28" i="4" s="1"/>
  <c r="B30" i="4" s="1"/>
  <c r="B21" i="8"/>
  <c r="B22" i="8" s="1"/>
  <c r="B31" i="4"/>
  <c r="B20" i="16" l="1"/>
  <c r="B21" i="16" s="1"/>
  <c r="B20" i="18"/>
  <c r="B21" i="18" s="1"/>
  <c r="B20" i="17"/>
  <c r="B21" i="17" s="1"/>
</calcChain>
</file>

<file path=xl/sharedStrings.xml><?xml version="1.0" encoding="utf-8"?>
<sst xmlns="http://schemas.openxmlformats.org/spreadsheetml/2006/main" count="694" uniqueCount="204">
  <si>
    <t>Original</t>
  </si>
  <si>
    <t>Bear</t>
  </si>
  <si>
    <t>Base</t>
  </si>
  <si>
    <t>Bull</t>
  </si>
  <si>
    <t>Revenue FY2025 (USD m)</t>
  </si>
  <si>
    <t>EBIT FY2025 after R&amp;D capitalization (USD m)</t>
  </si>
  <si>
    <t>Invested capital FY2025 (USD m)</t>
  </si>
  <si>
    <t>Debt (USD m)</t>
  </si>
  <si>
    <t>Cash (USD m)</t>
  </si>
  <si>
    <t>Minority interests (USD m)</t>
  </si>
  <si>
    <t>Non-operating assets (USD m)</t>
  </si>
  <si>
    <t>Value of employee options (USD m)</t>
  </si>
  <si>
    <t>Shares, DCF denominator (million)</t>
  </si>
  <si>
    <t>Revenue growth, year 1 (rate)</t>
  </si>
  <si>
    <t>Revenue growth, years 2-5 (rate)</t>
  </si>
  <si>
    <t>Revenue growth after year 10 (rate)</t>
  </si>
  <si>
    <t>Operating margin, year 1 (rate)</t>
  </si>
  <si>
    <t>Target operating margin (rate)</t>
  </si>
  <si>
    <t>Margin convergence year (year)</t>
  </si>
  <si>
    <t>Tax rate, base year to year 5 (rate)</t>
  </si>
  <si>
    <t>Tax rate after year 10 (rate)</t>
  </si>
  <si>
    <t>Sales to capital, years 1-5 (ratio)</t>
  </si>
  <si>
    <t>Sales to capital, years 6-10 (ratio)</t>
  </si>
  <si>
    <t>WACC, years 1-5 (rate)</t>
  </si>
  <si>
    <t>WACC after year 10 (rate)</t>
  </si>
  <si>
    <t>Terminal ROIC override (1 = on) (flag)</t>
  </si>
  <si>
    <t>Terminal ROIC when the override is on (rate)</t>
  </si>
  <si>
    <t>Base year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</si>
  <si>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</si>
  <si>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</si>
  <si>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</si>
  <si>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</si>
  <si>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</si>
  <si>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</si>
  <si>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</si>
  <si>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</si>
  <si>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</si>
  <si>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</si>
  <si>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Terminal year</t>
  </si>
  <si>
    <t>Year</t>
  </si>
  <si>
    <t>Revenue growth</t>
  </si>
  <si>
    <t>Revenue</t>
  </si>
  <si>
    <t>Operating margin</t>
  </si>
  <si>
    <t>EBIT</t>
  </si>
  <si>
    <t>Tax rate</t>
  </si>
  <si>
    <t>NOPAT</t>
  </si>
  <si>
    <t>Sales to capital</t>
  </si>
  <si>
    <t>Reinvestment</t>
  </si>
  <si>
    <t>FCFF</t>
  </si>
  <si>
    <t>WACC</t>
  </si>
  <si>
    <t>Cumulative discount factor</t>
  </si>
  <si>
    <t>PV of FCFF</t>
  </si>
  <si>
    <t>Invested capital</t>
  </si>
  <si>
    <t>ROIC</t>
  </si>
  <si>
    <t>Terminal ROIC</t>
  </si>
  <si>
    <t>Terminal value</t>
  </si>
  <si>
    <t>PV of terminal value</t>
  </si>
  <si>
    <t>Sum of PV of FCFF, years 1-10</t>
  </si>
  <si>
    <t>Operating assets</t>
  </si>
  <si>
    <t>Debt</t>
  </si>
  <si>
    <t>Cash</t>
  </si>
  <si>
    <t>Minority interests</t>
  </si>
  <si>
    <t>Non-operating assets</t>
  </si>
  <si>
    <t>Equity value</t>
  </si>
  <si>
    <t>Value of employee options</t>
  </si>
  <si>
    <t>Common equity</t>
  </si>
  <si>
    <t>Shares</t>
  </si>
  <si>
    <t>Value per share</t>
  </si>
  <si>
    <t>PV of terminal value / operating assets</t>
  </si>
  <si>
    <t>Valuation</t>
  </si>
  <si>
    <t>Opening invested capital</t>
  </si>
  <si>
    <t>Capital charge</t>
  </si>
  <si>
    <t>Economic profit</t>
  </si>
  <si>
    <t>PV of economic profit</t>
  </si>
  <si>
    <t>Invested capital, base year</t>
  </si>
  <si>
    <t>Sum of PV of economic profit, years 1-10</t>
  </si>
  <si>
    <t>Terminal NOPAT</t>
  </si>
  <si>
    <t>Terminal WACC</t>
  </si>
  <si>
    <t>Terminal growth</t>
  </si>
  <si>
    <t>Invested capital, year 10</t>
  </si>
  <si>
    <t>Economic profit on existing capital, terminal year</t>
  </si>
  <si>
    <t>Value of economic profit on new capital</t>
  </si>
  <si>
    <t>Continuing value of economic profit</t>
  </si>
  <si>
    <t>PV of continuing value</t>
  </si>
  <si>
    <t>Operating value from economic profit</t>
  </si>
  <si>
    <t>Operating value from DCF</t>
  </si>
  <si>
    <t>Difference (EVA minus DCF)</t>
  </si>
  <si>
    <t>FY2025 / inputs</t>
  </si>
  <si>
    <t>EPS</t>
  </si>
  <si>
    <t>Payout ratio</t>
  </si>
  <si>
    <t>Dividend per share</t>
  </si>
  <si>
    <t>Discount factor</t>
  </si>
  <si>
    <t>PV of dividend</t>
  </si>
  <si>
    <t>Cost of equity</t>
  </si>
  <si>
    <t>EPS growth, years 1-10</t>
  </si>
  <si>
    <t>Terminal return on equity</t>
  </si>
  <si>
    <t>Terminal payout ratio</t>
  </si>
  <si>
    <t>Dividend, year 11</t>
  </si>
  <si>
    <t>Terminal value, end of year 10</t>
  </si>
  <si>
    <t>Sum of PV of dividends, years 1-10</t>
  </si>
  <si>
    <t>Entry / FY2025</t>
  </si>
  <si>
    <t>Entry price per share</t>
  </si>
  <si>
    <t>Diluted shares (m)</t>
  </si>
  <si>
    <t>Equity purchase price</t>
  </si>
  <si>
    <t>Existing debt refinanced</t>
  </si>
  <si>
    <t>Cash at entry</t>
  </si>
  <si>
    <t>Minimum cash</t>
  </si>
  <si>
    <t>Entry enterprise value</t>
  </si>
  <si>
    <t>EBITDA FY2025</t>
  </si>
  <si>
    <t>Entry EV / EBITDA</t>
  </si>
  <si>
    <t>Leverage (x FY2025 EBITDA)</t>
  </si>
  <si>
    <t>New debt</t>
  </si>
  <si>
    <t>SOFR, 29 Aug 2025</t>
  </si>
  <si>
    <t>Credit spread</t>
  </si>
  <si>
    <t>Interest rate</t>
  </si>
  <si>
    <t>Transaction fees (% of entry EV)</t>
  </si>
  <si>
    <t>Financing fees (% of new debt)</t>
  </si>
  <si>
    <t>Total uses</t>
  </si>
  <si>
    <t>Excess cash used</t>
  </si>
  <si>
    <t>Sponsor equity</t>
  </si>
  <si>
    <t>EBITDA (reported basis)</t>
  </si>
  <si>
    <t>FCFF before financing (DCF Base)</t>
  </si>
  <si>
    <t>Interest</t>
  </si>
  <si>
    <t>After-tax interest</t>
  </si>
  <si>
    <t>Cash flow after interest</t>
  </si>
  <si>
    <t>Debt repaid</t>
  </si>
  <si>
    <t>Debt, end of year</t>
  </si>
  <si>
    <t>Cash, end of year</t>
  </si>
  <si>
    <t>Exit EV / EBITDA</t>
  </si>
  <si>
    <t>Exit enterprise value</t>
  </si>
  <si>
    <t>Exit equity value</t>
  </si>
  <si>
    <t>MOIC</t>
  </si>
  <si>
    <t>IRR</t>
  </si>
  <si>
    <t>Hurdle IRR</t>
  </si>
  <si>
    <t>Meets hurdle (1 = yes)</t>
  </si>
  <si>
    <t>R&amp;D capitalization adjustment (% of revenue)</t>
  </si>
  <si>
    <t>D&amp;A (% of revenue)</t>
  </si>
  <si>
    <t>Revenue (DCF Base)</t>
  </si>
  <si>
    <t>Phase-in</t>
  </si>
  <si>
    <t>Pre-tax cost synergies</t>
  </si>
  <si>
    <t>One-time costs to achieve</t>
  </si>
  <si>
    <t>Tax rate (DCF Base)</t>
  </si>
  <si>
    <t>After-tax net synergies</t>
  </si>
  <si>
    <t>Cumulative discount factor (DCF Base)</t>
  </si>
  <si>
    <t>PV of net synergies</t>
  </si>
  <si>
    <t>Run-rate synergies (% of revenue)</t>
  </si>
  <si>
    <t>One-time costs (x run-rate synergies)</t>
  </si>
  <si>
    <t>Terminal growth (DCF Base)</t>
  </si>
  <si>
    <t>Terminal WACC (DCF Base)</t>
  </si>
  <si>
    <t>Terminal value of synergies, end of year 10</t>
  </si>
  <si>
    <t>Sum of PV, years 1-10</t>
  </si>
  <si>
    <t>Value of synergies</t>
  </si>
  <si>
    <t>Shares (m)</t>
  </si>
  <si>
    <t>Synergy value per share</t>
  </si>
  <si>
    <t>Standalone Base value per share</t>
  </si>
  <si>
    <t>Value per share to a buyer that keeps all synergies</t>
  </si>
  <si>
    <t>Price 29 Aug 2025</t>
  </si>
  <si>
    <t>Market cap</t>
  </si>
  <si>
    <t>Enterprise value</t>
  </si>
  <si>
    <t>LTM revenue</t>
  </si>
  <si>
    <t>LTM EBIT</t>
  </si>
  <si>
    <t>One-off charges added back</t>
  </si>
  <si>
    <t>LTM D&amp;A</t>
  </si>
  <si>
    <t>Adjusted EBITDA</t>
  </si>
  <si>
    <t>Adjusted EBIT</t>
  </si>
  <si>
    <t>EV / adjusted EBITDA</t>
  </si>
  <si>
    <t>EV / adjusted EBIT</t>
  </si>
  <si>
    <t>Church &amp; Dwight Co., Inc.</t>
  </si>
  <si>
    <t>The Clorox Company</t>
  </si>
  <si>
    <t>Energizer Holdings, Inc.</t>
  </si>
  <si>
    <t>Rpm International Inc.</t>
  </si>
  <si>
    <t>Quaker Chemical Corporation</t>
  </si>
  <si>
    <t>25th percentile</t>
  </si>
  <si>
    <t>Median</t>
  </si>
  <si>
    <t>75th percentile</t>
  </si>
  <si>
    <t>EBIT FY2025 (reported)</t>
  </si>
  <si>
    <t>D&amp;A FY2025</t>
  </si>
  <si>
    <t>Shares, DCF denominator (m)</t>
  </si>
  <si>
    <t>Peer EV / EBITDA (computed in Python from Comps peers)</t>
  </si>
  <si>
    <t>Implied enterprise value</t>
  </si>
  <si>
    <t>Implied equity value</t>
  </si>
  <si>
    <t>2018-11-15</t>
  </si>
  <si>
    <t>2017-04-05</t>
  </si>
  <si>
    <t>2017-07-17</t>
  </si>
  <si>
    <t>2022-08-01</t>
  </si>
  <si>
    <t>2021-11-29</t>
  </si>
  <si>
    <t>2015-04-08</t>
  </si>
  <si>
    <t>2015-04-28</t>
  </si>
  <si>
    <t>Announced</t>
  </si>
  <si>
    <t>Enterprise value ($m)</t>
  </si>
  <si>
    <t>EBITDA ($m)</t>
  </si>
  <si>
    <t>EV / EBITDA</t>
  </si>
  <si>
    <t>Revenue ($m)</t>
  </si>
  <si>
    <t>Announced synergies ($m)</t>
  </si>
  <si>
    <t>Synergies / target revenue</t>
  </si>
  <si>
    <t>In range (1 = yes)</t>
  </si>
  <si>
    <t>Energizer Holdings / Spectrum Brands Global Auto Care (Armor All, STP, A/C Pro)</t>
  </si>
  <si>
    <t>Quaker Chemical / Houghton International</t>
  </si>
  <si>
    <t>Church &amp; Dwight / Water Pik, Inc.</t>
  </si>
  <si>
    <t>Aramco / Valvoline Global Products (lubricants)</t>
  </si>
  <si>
    <t>Church &amp; Dwight / TheraBreath</t>
  </si>
  <si>
    <t>New Mountain Capital / Zep Inc.</t>
  </si>
  <si>
    <t>Spectrum Brands / Armored AutoGroup (Armor All, STP, A/C Pro)</t>
  </si>
  <si>
    <t>Deal EV / EBITDA (computed in Python from Precedent deals)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</si>
</sst>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/>
  </sheetViews>
  <sheetFormatPr defaultRowHeight="14.5" x14ac:dyDescent="0.35"/>
  <sheetData>
    <row r="1" spans="1:5" x14ac:dyDescent="0.3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5">
      <c r="A2" s="1" t="s">
        <v>4</v>
      </c>
      <c r="B2">
        <v>619.98500000000001</v>
      </c>
      <c r="C2">
        <v>619.98500000000001</v>
      </c>
      <c r="D2">
        <v>619.98500000000001</v>
      </c>
      <c r="E2">
        <v>619.98500000000001</v>
      </c>
    </row>
    <row r="3" spans="1:5" x14ac:dyDescent="0.35">
      <c r="A3" s="1" t="s">
        <v>5</v>
      </c>
      <c r="B3">
        <v>106.0596666666667</v>
      </c>
      <c r="C3">
        <v>106.0596666666667</v>
      </c>
      <c r="D3">
        <v>106.0596666666667</v>
      </c>
      <c r="E3">
        <v>106.0596666666667</v>
      </c>
    </row>
    <row r="4" spans="1:5" x14ac:dyDescent="0.35">
      <c r="A4" s="1" t="s">
        <v>6</v>
      </c>
      <c r="B4">
        <v>313.43700000000001</v>
      </c>
      <c r="C4">
        <v>313.43700000000001</v>
      </c>
      <c r="D4">
        <v>313.43700000000001</v>
      </c>
      <c r="E4">
        <v>313.43700000000001</v>
      </c>
    </row>
    <row r="5" spans="1:5" x14ac:dyDescent="0.35">
      <c r="A5" s="1" t="s">
        <v>7</v>
      </c>
      <c r="B5">
        <v>86.995000000000005</v>
      </c>
      <c r="C5">
        <v>86.995000000000005</v>
      </c>
      <c r="D5">
        <v>86.995000000000005</v>
      </c>
      <c r="E5">
        <v>86.995000000000005</v>
      </c>
    </row>
    <row r="6" spans="1:5" x14ac:dyDescent="0.35">
      <c r="A6" s="1" t="s">
        <v>8</v>
      </c>
      <c r="B6">
        <v>58.13</v>
      </c>
      <c r="C6">
        <v>58.13</v>
      </c>
      <c r="D6">
        <v>58.13</v>
      </c>
      <c r="E6">
        <v>58.13</v>
      </c>
    </row>
    <row r="7" spans="1:5" x14ac:dyDescent="0.35">
      <c r="A7" s="1" t="s">
        <v>9</v>
      </c>
      <c r="B7">
        <v>0</v>
      </c>
      <c r="C7">
        <v>0</v>
      </c>
      <c r="D7">
        <v>0</v>
      </c>
      <c r="E7">
        <v>0</v>
      </c>
    </row>
    <row r="8" spans="1:5" x14ac:dyDescent="0.35">
      <c r="A8" s="1" t="s">
        <v>10</v>
      </c>
      <c r="B8">
        <v>0</v>
      </c>
      <c r="C8">
        <v>0</v>
      </c>
      <c r="D8">
        <v>0</v>
      </c>
      <c r="E8">
        <v>0</v>
      </c>
    </row>
    <row r="9" spans="1:5" x14ac:dyDescent="0.35">
      <c r="A9" s="1" t="s">
        <v>11</v>
      </c>
      <c r="B9">
        <v>0</v>
      </c>
      <c r="C9">
        <v>0</v>
      </c>
      <c r="D9">
        <v>0</v>
      </c>
      <c r="E9">
        <v>0</v>
      </c>
    </row>
    <row r="10" spans="1:5" x14ac:dyDescent="0.35">
      <c r="A10" s="1" t="s">
        <v>12</v>
      </c>
      <c r="B10">
        <v>13.633262999999999</v>
      </c>
      <c r="C10">
        <v>13.633262999999999</v>
      </c>
      <c r="D10">
        <v>13.633262999999999</v>
      </c>
      <c r="E10">
        <v>13.633262999999999</v>
      </c>
    </row>
    <row r="11" spans="1:5" x14ac:dyDescent="0.35">
      <c r="A11" s="1" t="s">
        <v>13</v>
      </c>
      <c r="B11">
        <v>0.05</v>
      </c>
      <c r="C11">
        <v>1.6154000000000002E-2</v>
      </c>
      <c r="D11">
        <v>3.6315E-2</v>
      </c>
      <c r="E11">
        <v>5.6476999999999999E-2</v>
      </c>
    </row>
    <row r="12" spans="1:5" x14ac:dyDescent="0.35">
      <c r="A12" s="1" t="s">
        <v>14</v>
      </c>
      <c r="B12">
        <v>0.05</v>
      </c>
      <c r="C12">
        <v>0.04</v>
      </c>
      <c r="D12">
        <v>0.06</v>
      </c>
      <c r="E12">
        <v>7.0000000000000007E-2</v>
      </c>
    </row>
    <row r="13" spans="1:5" x14ac:dyDescent="0.35">
      <c r="A13" s="1" t="s">
        <v>15</v>
      </c>
      <c r="B13">
        <v>2.5000000000000001E-2</v>
      </c>
      <c r="C13">
        <v>0.02</v>
      </c>
      <c r="D13">
        <v>2.5000000000000001E-2</v>
      </c>
      <c r="E13">
        <v>0.03</v>
      </c>
    </row>
    <row r="14" spans="1:5" x14ac:dyDescent="0.35">
      <c r="A14" s="1" t="s">
        <v>16</v>
      </c>
      <c r="B14">
        <v>0.17106811723939561</v>
      </c>
      <c r="C14">
        <v>0.16383900000000001</v>
      </c>
      <c r="D14">
        <v>0.16928699999999999</v>
      </c>
      <c r="E14">
        <v>0.174734</v>
      </c>
    </row>
    <row r="15" spans="1:5" x14ac:dyDescent="0.35">
      <c r="A15" s="1" t="s">
        <v>17</v>
      </c>
      <c r="B15">
        <v>0.17106811723939561</v>
      </c>
      <c r="C15">
        <v>0.16383900000000001</v>
      </c>
      <c r="D15">
        <v>0.18</v>
      </c>
      <c r="E15">
        <v>0.2</v>
      </c>
    </row>
    <row r="16" spans="1:5" x14ac:dyDescent="0.35">
      <c r="A16" s="1" t="s">
        <v>18</v>
      </c>
      <c r="B16">
        <v>5</v>
      </c>
      <c r="C16">
        <v>5</v>
      </c>
      <c r="D16">
        <v>5</v>
      </c>
      <c r="E16">
        <v>5</v>
      </c>
    </row>
    <row r="17" spans="1:5" x14ac:dyDescent="0.35">
      <c r="A17" s="1" t="s">
        <v>19</v>
      </c>
      <c r="B17">
        <v>0.22200027552004409</v>
      </c>
      <c r="C17">
        <v>0.23499999999999999</v>
      </c>
      <c r="D17">
        <v>0.23</v>
      </c>
      <c r="E17">
        <v>0.22500000000000001</v>
      </c>
    </row>
    <row r="18" spans="1:5" x14ac:dyDescent="0.35">
      <c r="A18" s="1" t="s">
        <v>20</v>
      </c>
      <c r="B18">
        <v>0.25</v>
      </c>
      <c r="C18">
        <v>0.25</v>
      </c>
      <c r="D18">
        <v>0.25</v>
      </c>
      <c r="E18">
        <v>0.25</v>
      </c>
    </row>
    <row r="19" spans="1:5" x14ac:dyDescent="0.35">
      <c r="A19" s="1" t="s">
        <v>21</v>
      </c>
      <c r="B19">
        <v>2</v>
      </c>
      <c r="C19">
        <v>2</v>
      </c>
      <c r="D19">
        <v>2</v>
      </c>
      <c r="E19">
        <v>2</v>
      </c>
    </row>
    <row r="20" spans="1:5" x14ac:dyDescent="0.35">
      <c r="A20" s="1" t="s">
        <v>22</v>
      </c>
      <c r="B20">
        <v>2</v>
      </c>
      <c r="C20">
        <v>2</v>
      </c>
      <c r="D20">
        <v>2</v>
      </c>
      <c r="E20">
        <v>2</v>
      </c>
    </row>
    <row r="21" spans="1:5" x14ac:dyDescent="0.35">
      <c r="A21" s="1" t="s">
        <v>23</v>
      </c>
      <c r="B21">
        <v>0.09</v>
      </c>
      <c r="C21">
        <v>7.7021000000000006E-2</v>
      </c>
      <c r="D21">
        <v>7.4013999999999996E-2</v>
      </c>
      <c r="E21">
        <v>6.5809999999999994E-2</v>
      </c>
    </row>
    <row r="22" spans="1:5" x14ac:dyDescent="0.35">
      <c r="A22" s="1" t="s">
        <v>24</v>
      </c>
      <c r="B22">
        <v>0.08</v>
      </c>
      <c r="C22">
        <v>8.3212999999999995E-2</v>
      </c>
      <c r="D22">
        <v>7.4013999999999996E-2</v>
      </c>
      <c r="E22">
        <v>6.5809999999999994E-2</v>
      </c>
    </row>
    <row r="23" spans="1:5" x14ac:dyDescent="0.35">
      <c r="A23" s="1" t="s">
        <v>25</v>
      </c>
      <c r="B23">
        <v>0</v>
      </c>
      <c r="C23">
        <v>0</v>
      </c>
      <c r="D23">
        <v>1</v>
      </c>
      <c r="E23">
        <v>1</v>
      </c>
    </row>
    <row r="24" spans="1:5" x14ac:dyDescent="0.35">
      <c r="A24" s="1" t="s">
        <v>26</v>
      </c>
      <c r="B24">
        <v>0.15</v>
      </c>
      <c r="C24">
        <v>0.15</v>
      </c>
      <c r="D24">
        <v>0.15</v>
      </c>
      <c r="E24">
        <v>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1"/>
  <sheetViews>
    <sheetView workbookViewId="0"/>
  </sheetViews>
  <sheetFormatPr defaultRowHeight="14.5" x14ac:dyDescent="0.35"/>
  <sheetData>
    <row r="1" spans="1:13" x14ac:dyDescent="0.35">
      <c r="A1" s="1"/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</row>
    <row r="2" spans="1:13" x14ac:dyDescent="0.35">
      <c r="A2" s="1" t="s">
        <v>39</v>
      </c>
      <c r="B2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</row>
    <row r="3" spans="1:13" x14ac:dyDescent="0.35">
      <c r="A3" s="1" t="s">
        <v>40</v>
      </c>
      <c r="C3">
        <f>'Scenario inputs'!B11</f>
        <v>0.05</v>
      </c>
      <c r="D3">
        <f>'Scenario inputs'!B12</f>
        <v>0.05</v>
      </c>
      <c r="E3">
        <f>'Scenario inputs'!B12</f>
        <v>0.05</v>
      </c>
      <c r="F3">
        <f>'Scenario inputs'!B12</f>
        <v>0.05</v>
      </c>
      <c r="G3">
        <f>'Scenario inputs'!B12</f>
        <v>0.05</v>
      </c>
      <c r="H3">
        <f>G3-((G3-M3)/5)*1</f>
        <v>4.5000000000000005E-2</v>
      </c>
      <c r="I3">
        <f>G3-((G3-M3)/5)*2</f>
        <v>0.04</v>
      </c>
      <c r="J3">
        <f>G3-((G3-M3)/5)*3</f>
        <v>3.5000000000000003E-2</v>
      </c>
      <c r="K3">
        <f>G3-((G3-M3)/5)*4</f>
        <v>3.0000000000000002E-2</v>
      </c>
      <c r="L3">
        <f>G3-((G3-M3)/5)*5</f>
        <v>2.5000000000000001E-2</v>
      </c>
      <c r="M3">
        <f>'Scenario inputs'!B13</f>
        <v>2.5000000000000001E-2</v>
      </c>
    </row>
    <row r="4" spans="1:13" x14ac:dyDescent="0.35">
      <c r="A4" s="1" t="s">
        <v>41</v>
      </c>
      <c r="B4">
        <f>'Scenario inputs'!B2</f>
        <v>619.98500000000001</v>
      </c>
      <c r="C4">
        <f t="shared" ref="C4:M4" si="0">B4*(1+C3)</f>
        <v>650.98425000000009</v>
      </c>
      <c r="D4">
        <f t="shared" si="0"/>
        <v>683.53346250000016</v>
      </c>
      <c r="E4">
        <f t="shared" si="0"/>
        <v>717.71013562500025</v>
      </c>
      <c r="F4">
        <f t="shared" si="0"/>
        <v>753.59564240625025</v>
      </c>
      <c r="G4">
        <f t="shared" si="0"/>
        <v>791.2754245265628</v>
      </c>
      <c r="H4">
        <f t="shared" si="0"/>
        <v>826.88281863025804</v>
      </c>
      <c r="I4">
        <f t="shared" si="0"/>
        <v>859.95813137546838</v>
      </c>
      <c r="J4">
        <f t="shared" si="0"/>
        <v>890.05666597360971</v>
      </c>
      <c r="K4">
        <f t="shared" si="0"/>
        <v>916.75836595281805</v>
      </c>
      <c r="L4">
        <f t="shared" si="0"/>
        <v>939.67732510163842</v>
      </c>
      <c r="M4">
        <f t="shared" si="0"/>
        <v>963.16925822917926</v>
      </c>
    </row>
    <row r="5" spans="1:13" x14ac:dyDescent="0.35">
      <c r="A5" s="1" t="s">
        <v>42</v>
      </c>
      <c r="B5">
        <f>B6/B4</f>
        <v>0.17106811723939563</v>
      </c>
      <c r="C5">
        <f>'Scenario inputs'!B14</f>
        <v>0.17106811723939561</v>
      </c>
      <c r="D5">
        <f>IF(D2&gt;'Scenario inputs'!B16,'Scenario inputs'!B15,'Scenario inputs'!B15-(('Scenario inputs'!B15-C5)/'Scenario inputs'!B16)*('Scenario inputs'!B16-D2))</f>
        <v>0.17106811723939561</v>
      </c>
      <c r="E5">
        <f>IF(E2&gt;'Scenario inputs'!B16,'Scenario inputs'!B15,'Scenario inputs'!B15-(('Scenario inputs'!B15-C5)/'Scenario inputs'!B16)*('Scenario inputs'!B16-E2))</f>
        <v>0.17106811723939561</v>
      </c>
      <c r="F5">
        <f>IF(F2&gt;'Scenario inputs'!B16,'Scenario inputs'!B15,'Scenario inputs'!B15-(('Scenario inputs'!B15-C5)/'Scenario inputs'!B16)*('Scenario inputs'!B16-F2))</f>
        <v>0.17106811723939561</v>
      </c>
      <c r="G5">
        <f>IF(G2&gt;'Scenario inputs'!B16,'Scenario inputs'!B15,'Scenario inputs'!B15-(('Scenario inputs'!B15-C5)/'Scenario inputs'!B16)*('Scenario inputs'!B16-G2))</f>
        <v>0.17106811723939561</v>
      </c>
      <c r="H5">
        <f>IF(H2&gt;'Scenario inputs'!B16,'Scenario inputs'!B15,'Scenario inputs'!B15-(('Scenario inputs'!B15-C5)/'Scenario inputs'!B16)*('Scenario inputs'!B16-H2))</f>
        <v>0.17106811723939561</v>
      </c>
      <c r="I5">
        <f>IF(I2&gt;'Scenario inputs'!B16,'Scenario inputs'!B15,'Scenario inputs'!B15-(('Scenario inputs'!B15-C5)/'Scenario inputs'!B16)*('Scenario inputs'!B16-I2))</f>
        <v>0.17106811723939561</v>
      </c>
      <c r="J5">
        <f>IF(J2&gt;'Scenario inputs'!B16,'Scenario inputs'!B15,'Scenario inputs'!B15-(('Scenario inputs'!B15-C5)/'Scenario inputs'!B16)*('Scenario inputs'!B16-J2))</f>
        <v>0.17106811723939561</v>
      </c>
      <c r="K5">
        <f>IF(K2&gt;'Scenario inputs'!B16,'Scenario inputs'!B15,'Scenario inputs'!B15-(('Scenario inputs'!B15-C5)/'Scenario inputs'!B16)*('Scenario inputs'!B16-K2))</f>
        <v>0.17106811723939561</v>
      </c>
      <c r="L5">
        <f>IF(L2&gt;'Scenario inputs'!B16,'Scenario inputs'!B15,'Scenario inputs'!B15-(('Scenario inputs'!B15-C5)/'Scenario inputs'!B16)*('Scenario inputs'!B16-L2))</f>
        <v>0.17106811723939561</v>
      </c>
      <c r="M5">
        <f>(L5)</f>
        <v>0.17106811723939561</v>
      </c>
    </row>
    <row r="6" spans="1:13" x14ac:dyDescent="0.35">
      <c r="A6" s="1" t="s">
        <v>43</v>
      </c>
      <c r="B6">
        <f>'Scenario inputs'!B3</f>
        <v>106.0596666666667</v>
      </c>
      <c r="C6">
        <f t="shared" ref="C6:M6" si="1">C5*C4</f>
        <v>111.36265000000003</v>
      </c>
      <c r="D6">
        <f t="shared" si="1"/>
        <v>116.93078250000005</v>
      </c>
      <c r="E6">
        <f t="shared" si="1"/>
        <v>122.77732162500007</v>
      </c>
      <c r="F6">
        <f t="shared" si="1"/>
        <v>128.91618770625007</v>
      </c>
      <c r="G6">
        <f t="shared" si="1"/>
        <v>135.36199709156259</v>
      </c>
      <c r="H6">
        <f t="shared" si="1"/>
        <v>141.45328696068287</v>
      </c>
      <c r="I6">
        <f t="shared" si="1"/>
        <v>147.1114184391102</v>
      </c>
      <c r="J6">
        <f t="shared" si="1"/>
        <v>152.26031808447905</v>
      </c>
      <c r="K6">
        <f t="shared" si="1"/>
        <v>156.82812762701343</v>
      </c>
      <c r="L6">
        <f t="shared" si="1"/>
        <v>160.74883081768874</v>
      </c>
      <c r="M6">
        <f t="shared" si="1"/>
        <v>164.76755158813094</v>
      </c>
    </row>
    <row r="7" spans="1:13" x14ac:dyDescent="0.35">
      <c r="A7" s="1" t="s">
        <v>44</v>
      </c>
      <c r="B7">
        <f>'Scenario inputs'!B17</f>
        <v>0.22200027552004409</v>
      </c>
      <c r="C7">
        <f>(B7)</f>
        <v>0.22200027552004409</v>
      </c>
      <c r="D7">
        <f>(C7)</f>
        <v>0.22200027552004409</v>
      </c>
      <c r="E7">
        <f>(D7)</f>
        <v>0.22200027552004409</v>
      </c>
      <c r="F7">
        <f>(E7)</f>
        <v>0.22200027552004409</v>
      </c>
      <c r="G7">
        <f>(F7)</f>
        <v>0.22200027552004409</v>
      </c>
      <c r="H7">
        <f>G7+(M7-G7)/5</f>
        <v>0.22760022041603528</v>
      </c>
      <c r="I7">
        <f>H7+(M7-G7)/5</f>
        <v>0.23320016531202648</v>
      </c>
      <c r="J7">
        <f>I7+(M7-G7)/5</f>
        <v>0.23880011020801767</v>
      </c>
      <c r="K7">
        <f>J7+(M7-G7)/5</f>
        <v>0.24440005510400886</v>
      </c>
      <c r="L7">
        <f>K7+(M7-G7)/5</f>
        <v>0.25000000000000006</v>
      </c>
      <c r="M7">
        <f>'Scenario inputs'!B18</f>
        <v>0.25</v>
      </c>
    </row>
    <row r="8" spans="1:13" x14ac:dyDescent="0.35">
      <c r="A8" s="1" t="s">
        <v>45</v>
      </c>
      <c r="B8">
        <f t="shared" ref="B8:L8" si="2">IF(B6&gt;0,B6*(1-B7),B6)</f>
        <v>82.51439144510266</v>
      </c>
      <c r="C8">
        <f t="shared" si="2"/>
        <v>86.640111017357782</v>
      </c>
      <c r="D8">
        <f t="shared" si="2"/>
        <v>90.972116568225687</v>
      </c>
      <c r="E8">
        <f t="shared" si="2"/>
        <v>95.520722396636984</v>
      </c>
      <c r="F8">
        <f t="shared" si="2"/>
        <v>100.29675851646884</v>
      </c>
      <c r="G8">
        <f t="shared" si="2"/>
        <v>105.31159644229228</v>
      </c>
      <c r="H8">
        <f t="shared" si="2"/>
        <v>109.25848766985877</v>
      </c>
      <c r="I8">
        <f t="shared" si="2"/>
        <v>112.805011339823</v>
      </c>
      <c r="J8">
        <f t="shared" si="2"/>
        <v>115.90053734559763</v>
      </c>
      <c r="K8">
        <f t="shared" si="2"/>
        <v>118.49932459311282</v>
      </c>
      <c r="L8">
        <f t="shared" si="2"/>
        <v>120.56162311326656</v>
      </c>
      <c r="M8">
        <f>M6*(1-M7)</f>
        <v>123.57566369109821</v>
      </c>
    </row>
    <row r="9" spans="1:13" x14ac:dyDescent="0.35">
      <c r="A9" s="1" t="s">
        <v>46</v>
      </c>
      <c r="C9">
        <f>'Scenario inputs'!B19</f>
        <v>2</v>
      </c>
      <c r="D9">
        <f>'Scenario inputs'!B19</f>
        <v>2</v>
      </c>
      <c r="E9">
        <f>'Scenario inputs'!B19</f>
        <v>2</v>
      </c>
      <c r="F9">
        <f>'Scenario inputs'!B19</f>
        <v>2</v>
      </c>
      <c r="G9">
        <f>'Scenario inputs'!B19</f>
        <v>2</v>
      </c>
      <c r="H9">
        <f>'Scenario inputs'!B20</f>
        <v>2</v>
      </c>
      <c r="I9">
        <f>'Scenario inputs'!B20</f>
        <v>2</v>
      </c>
      <c r="J9">
        <f>'Scenario inputs'!B20</f>
        <v>2</v>
      </c>
      <c r="K9">
        <f>'Scenario inputs'!B20</f>
        <v>2</v>
      </c>
      <c r="L9">
        <f>'Scenario inputs'!B20</f>
        <v>2</v>
      </c>
    </row>
    <row r="10" spans="1:13" x14ac:dyDescent="0.35">
      <c r="A10" s="1" t="s">
        <v>47</v>
      </c>
      <c r="C10">
        <f t="shared" ref="C10:L10" si="3">(D4-C4)/C9</f>
        <v>16.274606250000033</v>
      </c>
      <c r="D10">
        <f t="shared" si="3"/>
        <v>17.088336562500047</v>
      </c>
      <c r="E10">
        <f t="shared" si="3"/>
        <v>17.942753390625001</v>
      </c>
      <c r="F10">
        <f t="shared" si="3"/>
        <v>18.839891060156276</v>
      </c>
      <c r="G10">
        <f t="shared" si="3"/>
        <v>17.803697051847621</v>
      </c>
      <c r="H10">
        <f t="shared" si="3"/>
        <v>16.53765637260517</v>
      </c>
      <c r="I10">
        <f t="shared" si="3"/>
        <v>15.049267299070664</v>
      </c>
      <c r="J10">
        <f t="shared" si="3"/>
        <v>13.350849989604171</v>
      </c>
      <c r="K10">
        <f t="shared" si="3"/>
        <v>11.459479574410182</v>
      </c>
      <c r="L10">
        <f t="shared" si="3"/>
        <v>11.745966563770423</v>
      </c>
      <c r="M10">
        <f>IF(M3&gt;0,(M3/B17)*M8,0)</f>
        <v>38.617394903468195</v>
      </c>
    </row>
    <row r="11" spans="1:13" x14ac:dyDescent="0.35">
      <c r="A11" s="1" t="s">
        <v>48</v>
      </c>
      <c r="C11">
        <f t="shared" ref="C11:M11" si="4">C8-C10</f>
        <v>70.365504767357749</v>
      </c>
      <c r="D11">
        <f t="shared" si="4"/>
        <v>73.88378000572564</v>
      </c>
      <c r="E11">
        <f t="shared" si="4"/>
        <v>77.577969006011983</v>
      </c>
      <c r="F11">
        <f t="shared" si="4"/>
        <v>81.456867456312565</v>
      </c>
      <c r="G11">
        <f t="shared" si="4"/>
        <v>87.507899390444663</v>
      </c>
      <c r="H11">
        <f t="shared" si="4"/>
        <v>92.720831297253596</v>
      </c>
      <c r="I11">
        <f t="shared" si="4"/>
        <v>97.755744040752333</v>
      </c>
      <c r="J11">
        <f t="shared" si="4"/>
        <v>102.54968735599346</v>
      </c>
      <c r="K11">
        <f t="shared" si="4"/>
        <v>107.03984501870264</v>
      </c>
      <c r="L11">
        <f t="shared" si="4"/>
        <v>108.81565654949614</v>
      </c>
      <c r="M11">
        <f t="shared" si="4"/>
        <v>84.958268787630018</v>
      </c>
    </row>
    <row r="12" spans="1:13" x14ac:dyDescent="0.35">
      <c r="A12" s="1" t="s">
        <v>49</v>
      </c>
      <c r="C12">
        <f>'Scenario inputs'!B21</f>
        <v>0.09</v>
      </c>
      <c r="D12">
        <f>'Scenario inputs'!B21</f>
        <v>0.09</v>
      </c>
      <c r="E12">
        <f>'Scenario inputs'!B21</f>
        <v>0.09</v>
      </c>
      <c r="F12">
        <f>'Scenario inputs'!B21</f>
        <v>0.09</v>
      </c>
      <c r="G12">
        <f>'Scenario inputs'!B21</f>
        <v>0.09</v>
      </c>
      <c r="H12">
        <f>G12-(G12-M12)/5</f>
        <v>8.7999999999999995E-2</v>
      </c>
      <c r="I12">
        <f>H12-(G12-M12)/5</f>
        <v>8.5999999999999993E-2</v>
      </c>
      <c r="J12">
        <f>I12-(G12-M12)/5</f>
        <v>8.3999999999999991E-2</v>
      </c>
      <c r="K12">
        <f>J12-(G12-M12)/5</f>
        <v>8.199999999999999E-2</v>
      </c>
      <c r="L12">
        <f>K12-(G12-M12)/5</f>
        <v>7.9999999999999988E-2</v>
      </c>
      <c r="M12">
        <f>'Scenario inputs'!B22</f>
        <v>0.08</v>
      </c>
    </row>
    <row r="13" spans="1:13" x14ac:dyDescent="0.35">
      <c r="A13" s="1" t="s">
        <v>50</v>
      </c>
      <c r="C13">
        <f>1/(1+C12)</f>
        <v>0.9174311926605504</v>
      </c>
      <c r="D13">
        <f t="shared" ref="D13:L13" si="5">C13*(1/(1+D12))</f>
        <v>0.84167999326655996</v>
      </c>
      <c r="E13">
        <f t="shared" si="5"/>
        <v>0.77218348006106408</v>
      </c>
      <c r="F13">
        <f t="shared" si="5"/>
        <v>0.7084252110651964</v>
      </c>
      <c r="G13">
        <f t="shared" si="5"/>
        <v>0.64993138629834524</v>
      </c>
      <c r="H13">
        <f t="shared" si="5"/>
        <v>0.59736340652421438</v>
      </c>
      <c r="I13">
        <f t="shared" si="5"/>
        <v>0.55005838538141283</v>
      </c>
      <c r="J13">
        <f t="shared" si="5"/>
        <v>0.50743393485370181</v>
      </c>
      <c r="K13">
        <f t="shared" si="5"/>
        <v>0.46897775864482605</v>
      </c>
      <c r="L13">
        <f t="shared" si="5"/>
        <v>0.43423866541187595</v>
      </c>
    </row>
    <row r="14" spans="1:13" x14ac:dyDescent="0.35">
      <c r="A14" s="1" t="s">
        <v>51</v>
      </c>
      <c r="C14">
        <f t="shared" ref="C14:L14" si="6">C11*C13</f>
        <v>64.555508960878669</v>
      </c>
      <c r="D14">
        <f t="shared" si="6"/>
        <v>62.186499457727152</v>
      </c>
      <c r="E14">
        <f t="shared" si="6"/>
        <v>59.904426083131703</v>
      </c>
      <c r="F14">
        <f t="shared" si="6"/>
        <v>57.706098520447959</v>
      </c>
      <c r="G14">
        <f t="shared" si="6"/>
        <v>56.874130362887819</v>
      </c>
      <c r="H14">
        <f t="shared" si="6"/>
        <v>55.388031639484403</v>
      </c>
      <c r="I14">
        <f t="shared" si="6"/>
        <v>53.771366728814897</v>
      </c>
      <c r="J14">
        <f t="shared" si="6"/>
        <v>52.037191373068673</v>
      </c>
      <c r="K14">
        <f t="shared" si="6"/>
        <v>50.199306602560711</v>
      </c>
      <c r="L14">
        <f t="shared" si="6"/>
        <v>47.251965475970259</v>
      </c>
    </row>
    <row r="15" spans="1:13" x14ac:dyDescent="0.35">
      <c r="A15" s="1" t="s">
        <v>52</v>
      </c>
      <c r="B15">
        <f>'Scenario inputs'!B4</f>
        <v>313.43700000000001</v>
      </c>
      <c r="C15">
        <f t="shared" ref="C15:L15" si="7">B15+C10</f>
        <v>329.71160625000005</v>
      </c>
      <c r="D15">
        <f t="shared" si="7"/>
        <v>346.79994281250009</v>
      </c>
      <c r="E15">
        <f t="shared" si="7"/>
        <v>364.74269620312509</v>
      </c>
      <c r="F15">
        <f t="shared" si="7"/>
        <v>383.58258726328137</v>
      </c>
      <c r="G15">
        <f t="shared" si="7"/>
        <v>401.38628431512899</v>
      </c>
      <c r="H15">
        <f t="shared" si="7"/>
        <v>417.92394068773416</v>
      </c>
      <c r="I15">
        <f t="shared" si="7"/>
        <v>432.97320798680482</v>
      </c>
      <c r="J15">
        <f t="shared" si="7"/>
        <v>446.32405797640899</v>
      </c>
      <c r="K15">
        <f t="shared" si="7"/>
        <v>457.78353755081918</v>
      </c>
      <c r="L15">
        <f t="shared" si="7"/>
        <v>469.5295041145896</v>
      </c>
    </row>
    <row r="16" spans="1:13" x14ac:dyDescent="0.35">
      <c r="A16" s="1" t="s">
        <v>53</v>
      </c>
      <c r="B16">
        <f>B8/B15</f>
        <v>0.26325670372388282</v>
      </c>
      <c r="C16">
        <f t="shared" ref="C16:L16" si="8">C8/B15</f>
        <v>0.27641953891007692</v>
      </c>
      <c r="D16">
        <f t="shared" si="8"/>
        <v>0.27591420757947815</v>
      </c>
      <c r="E16">
        <f t="shared" si="8"/>
        <v>0.27543465440615988</v>
      </c>
      <c r="F16">
        <f t="shared" si="8"/>
        <v>0.2749794843338374</v>
      </c>
      <c r="G16">
        <f t="shared" si="8"/>
        <v>0.27454738546306606</v>
      </c>
      <c r="H16">
        <f t="shared" si="8"/>
        <v>0.27220284284572055</v>
      </c>
      <c r="I16">
        <f t="shared" si="8"/>
        <v>0.26991756240188458</v>
      </c>
      <c r="J16">
        <f t="shared" si="8"/>
        <v>0.26768524058220661</v>
      </c>
      <c r="K16">
        <f t="shared" si="8"/>
        <v>0.26550064347948782</v>
      </c>
      <c r="L16">
        <f t="shared" si="8"/>
        <v>0.26335945534057753</v>
      </c>
    </row>
    <row r="17" spans="1:2" x14ac:dyDescent="0.35">
      <c r="A17" s="1" t="s">
        <v>54</v>
      </c>
      <c r="B17">
        <f>IF('Scenario inputs'!B23=1,'Scenario inputs'!B24,L12)</f>
        <v>7.9999999999999988E-2</v>
      </c>
    </row>
    <row r="18" spans="1:2" x14ac:dyDescent="0.35">
      <c r="A18" s="1" t="s">
        <v>55</v>
      </c>
      <c r="B18">
        <f>M11/(M12-M3)</f>
        <v>1544.6957961387277</v>
      </c>
    </row>
    <row r="19" spans="1:2" x14ac:dyDescent="0.35">
      <c r="A19" s="1" t="s">
        <v>56</v>
      </c>
      <c r="B19">
        <f>B18*L13</f>
        <v>670.76664098261631</v>
      </c>
    </row>
    <row r="20" spans="1:2" x14ac:dyDescent="0.35">
      <c r="A20" s="1" t="s">
        <v>57</v>
      </c>
      <c r="B20">
        <f>SUM(C14:L14)</f>
        <v>559.8745252049722</v>
      </c>
    </row>
    <row r="21" spans="1:2" x14ac:dyDescent="0.35">
      <c r="A21" s="1" t="s">
        <v>58</v>
      </c>
      <c r="B21">
        <f>B19+B20</f>
        <v>1230.6411661875886</v>
      </c>
    </row>
    <row r="22" spans="1:2" x14ac:dyDescent="0.35">
      <c r="A22" s="1" t="s">
        <v>59</v>
      </c>
      <c r="B22">
        <f>'Scenario inputs'!B5</f>
        <v>86.995000000000005</v>
      </c>
    </row>
    <row r="23" spans="1:2" x14ac:dyDescent="0.35">
      <c r="A23" s="1" t="s">
        <v>60</v>
      </c>
      <c r="B23">
        <f>'Scenario inputs'!B6</f>
        <v>58.13</v>
      </c>
    </row>
    <row r="24" spans="1:2" x14ac:dyDescent="0.35">
      <c r="A24" s="1" t="s">
        <v>61</v>
      </c>
      <c r="B24">
        <f>'Scenario inputs'!B7</f>
        <v>0</v>
      </c>
    </row>
    <row r="25" spans="1:2" x14ac:dyDescent="0.35">
      <c r="A25" s="1" t="s">
        <v>62</v>
      </c>
      <c r="B25">
        <f>'Scenario inputs'!B8</f>
        <v>0</v>
      </c>
    </row>
    <row r="26" spans="1:2" x14ac:dyDescent="0.35">
      <c r="A26" s="1" t="s">
        <v>63</v>
      </c>
      <c r="B26">
        <f>B21-B22-B24+B23+B25</f>
        <v>1201.7761661875888</v>
      </c>
    </row>
    <row r="27" spans="1:2" x14ac:dyDescent="0.35">
      <c r="A27" s="1" t="s">
        <v>64</v>
      </c>
      <c r="B27">
        <f>'Scenario inputs'!B9</f>
        <v>0</v>
      </c>
    </row>
    <row r="28" spans="1:2" x14ac:dyDescent="0.35">
      <c r="A28" s="1" t="s">
        <v>65</v>
      </c>
      <c r="B28">
        <f>B26-B27</f>
        <v>1201.7761661875888</v>
      </c>
    </row>
    <row r="29" spans="1:2" x14ac:dyDescent="0.35">
      <c r="A29" s="1" t="s">
        <v>66</v>
      </c>
      <c r="B29">
        <f>'Scenario inputs'!B10</f>
        <v>13.633262999999999</v>
      </c>
    </row>
    <row r="30" spans="1:2" x14ac:dyDescent="0.35">
      <c r="A30" s="1" t="s">
        <v>67</v>
      </c>
      <c r="B30">
        <f>B28/B29</f>
        <v>88.150295801349159</v>
      </c>
    </row>
    <row r="31" spans="1:2" x14ac:dyDescent="0.35">
      <c r="A31" s="1" t="s">
        <v>68</v>
      </c>
      <c r="B31">
        <f>B19/B21</f>
        <v>0.54505461007824785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1"/>
  <sheetViews>
    <sheetView workbookViewId="0"/>
  </sheetViews>
  <sheetFormatPr defaultRowHeight="14.5" x14ac:dyDescent="0.35"/>
  <sheetData>
    <row r="1" spans="1:13" x14ac:dyDescent="0.35">
      <c r="A1" s="1"/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</row>
    <row r="2" spans="1:13" x14ac:dyDescent="0.35">
      <c r="A2" s="1" t="s">
        <v>39</v>
      </c>
      <c r="B2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</row>
    <row r="3" spans="1:13" x14ac:dyDescent="0.35">
      <c r="A3" s="1" t="s">
        <v>40</v>
      </c>
      <c r="C3">
        <f>'Scenario inputs'!C11</f>
        <v>1.6154000000000002E-2</v>
      </c>
      <c r="D3">
        <f>'Scenario inputs'!C12</f>
        <v>0.04</v>
      </c>
      <c r="E3">
        <f>'Scenario inputs'!C12</f>
        <v>0.04</v>
      </c>
      <c r="F3">
        <f>'Scenario inputs'!C12</f>
        <v>0.04</v>
      </c>
      <c r="G3">
        <f>'Scenario inputs'!C12</f>
        <v>0.04</v>
      </c>
      <c r="H3">
        <f>G3-((G3-M3)/5)*1</f>
        <v>3.6000000000000004E-2</v>
      </c>
      <c r="I3">
        <f>G3-((G3-M3)/5)*2</f>
        <v>3.2000000000000001E-2</v>
      </c>
      <c r="J3">
        <f>G3-((G3-M3)/5)*3</f>
        <v>2.8000000000000001E-2</v>
      </c>
      <c r="K3">
        <f>G3-((G3-M3)/5)*4</f>
        <v>2.4E-2</v>
      </c>
      <c r="L3">
        <f>G3-((G3-M3)/5)*5</f>
        <v>0.02</v>
      </c>
      <c r="M3">
        <f>'Scenario inputs'!C13</f>
        <v>0.02</v>
      </c>
    </row>
    <row r="4" spans="1:13" x14ac:dyDescent="0.35">
      <c r="A4" s="1" t="s">
        <v>41</v>
      </c>
      <c r="B4">
        <f>'Scenario inputs'!C2</f>
        <v>619.98500000000001</v>
      </c>
      <c r="C4">
        <f t="shared" ref="C4:M4" si="0">B4*(1+C3)</f>
        <v>630.00023769000006</v>
      </c>
      <c r="D4">
        <f t="shared" si="0"/>
        <v>655.20024719760011</v>
      </c>
      <c r="E4">
        <f t="shared" si="0"/>
        <v>681.40825708550415</v>
      </c>
      <c r="F4">
        <f t="shared" si="0"/>
        <v>708.66458736892434</v>
      </c>
      <c r="G4">
        <f t="shared" si="0"/>
        <v>737.0111708636814</v>
      </c>
      <c r="H4">
        <f t="shared" si="0"/>
        <v>763.54357301477398</v>
      </c>
      <c r="I4">
        <f t="shared" si="0"/>
        <v>787.9769673512468</v>
      </c>
      <c r="J4">
        <f t="shared" si="0"/>
        <v>810.04032243708173</v>
      </c>
      <c r="K4">
        <f t="shared" si="0"/>
        <v>829.48129017557176</v>
      </c>
      <c r="L4">
        <f t="shared" si="0"/>
        <v>846.07091597908322</v>
      </c>
      <c r="M4">
        <f t="shared" si="0"/>
        <v>862.9923342986649</v>
      </c>
    </row>
    <row r="5" spans="1:13" x14ac:dyDescent="0.35">
      <c r="A5" s="1" t="s">
        <v>42</v>
      </c>
      <c r="B5">
        <f>B6/B4</f>
        <v>0.17106811723939563</v>
      </c>
      <c r="C5">
        <f>'Scenario inputs'!C14</f>
        <v>0.16383900000000001</v>
      </c>
      <c r="D5">
        <f>IF(D2&gt;'Scenario inputs'!C16,'Scenario inputs'!C15,'Scenario inputs'!C15-(('Scenario inputs'!C15-C5)/'Scenario inputs'!C16)*('Scenario inputs'!C16-D2))</f>
        <v>0.16383900000000001</v>
      </c>
      <c r="E5">
        <f>IF(E2&gt;'Scenario inputs'!C16,'Scenario inputs'!C15,'Scenario inputs'!C15-(('Scenario inputs'!C15-C5)/'Scenario inputs'!C16)*('Scenario inputs'!C16-E2))</f>
        <v>0.16383900000000001</v>
      </c>
      <c r="F5">
        <f>IF(F2&gt;'Scenario inputs'!C16,'Scenario inputs'!C15,'Scenario inputs'!C15-(('Scenario inputs'!C15-C5)/'Scenario inputs'!C16)*('Scenario inputs'!C16-F2))</f>
        <v>0.16383900000000001</v>
      </c>
      <c r="G5">
        <f>IF(G2&gt;'Scenario inputs'!C16,'Scenario inputs'!C15,'Scenario inputs'!C15-(('Scenario inputs'!C15-C5)/'Scenario inputs'!C16)*('Scenario inputs'!C16-G2))</f>
        <v>0.16383900000000001</v>
      </c>
      <c r="H5">
        <f>IF(H2&gt;'Scenario inputs'!C16,'Scenario inputs'!C15,'Scenario inputs'!C15-(('Scenario inputs'!C15-C5)/'Scenario inputs'!C16)*('Scenario inputs'!C16-H2))</f>
        <v>0.16383900000000001</v>
      </c>
      <c r="I5">
        <f>IF(I2&gt;'Scenario inputs'!C16,'Scenario inputs'!C15,'Scenario inputs'!C15-(('Scenario inputs'!C15-C5)/'Scenario inputs'!C16)*('Scenario inputs'!C16-I2))</f>
        <v>0.16383900000000001</v>
      </c>
      <c r="J5">
        <f>IF(J2&gt;'Scenario inputs'!C16,'Scenario inputs'!C15,'Scenario inputs'!C15-(('Scenario inputs'!C15-C5)/'Scenario inputs'!C16)*('Scenario inputs'!C16-J2))</f>
        <v>0.16383900000000001</v>
      </c>
      <c r="K5">
        <f>IF(K2&gt;'Scenario inputs'!C16,'Scenario inputs'!C15,'Scenario inputs'!C15-(('Scenario inputs'!C15-C5)/'Scenario inputs'!C16)*('Scenario inputs'!C16-K2))</f>
        <v>0.16383900000000001</v>
      </c>
      <c r="L5">
        <f>IF(L2&gt;'Scenario inputs'!C16,'Scenario inputs'!C15,'Scenario inputs'!C15-(('Scenario inputs'!C15-C5)/'Scenario inputs'!C16)*('Scenario inputs'!C16-L2))</f>
        <v>0.16383900000000001</v>
      </c>
      <c r="M5">
        <f>(L5)</f>
        <v>0.16383900000000001</v>
      </c>
    </row>
    <row r="6" spans="1:13" x14ac:dyDescent="0.35">
      <c r="A6" s="1" t="s">
        <v>43</v>
      </c>
      <c r="B6">
        <f>'Scenario inputs'!C3</f>
        <v>106.0596666666667</v>
      </c>
      <c r="C6">
        <f t="shared" ref="C6:M6" si="1">C5*C4</f>
        <v>103.21860894289193</v>
      </c>
      <c r="D6">
        <f t="shared" si="1"/>
        <v>107.34735330060761</v>
      </c>
      <c r="E6">
        <f t="shared" si="1"/>
        <v>111.64124743263193</v>
      </c>
      <c r="F6">
        <f t="shared" si="1"/>
        <v>116.1068973299372</v>
      </c>
      <c r="G6">
        <f t="shared" si="1"/>
        <v>120.7511732231347</v>
      </c>
      <c r="H6">
        <f t="shared" si="1"/>
        <v>125.09821545916756</v>
      </c>
      <c r="I6">
        <f t="shared" si="1"/>
        <v>129.10135835386095</v>
      </c>
      <c r="J6">
        <f t="shared" si="1"/>
        <v>132.71619638776903</v>
      </c>
      <c r="K6">
        <f t="shared" si="1"/>
        <v>135.9013851010755</v>
      </c>
      <c r="L6">
        <f t="shared" si="1"/>
        <v>138.61941280309702</v>
      </c>
      <c r="M6">
        <f t="shared" si="1"/>
        <v>141.39180105915898</v>
      </c>
    </row>
    <row r="7" spans="1:13" x14ac:dyDescent="0.35">
      <c r="A7" s="1" t="s">
        <v>44</v>
      </c>
      <c r="B7">
        <f>'Scenario inputs'!C17</f>
        <v>0.23499999999999999</v>
      </c>
      <c r="C7">
        <f>(B7)</f>
        <v>0.23499999999999999</v>
      </c>
      <c r="D7">
        <f>(C7)</f>
        <v>0.23499999999999999</v>
      </c>
      <c r="E7">
        <f>(D7)</f>
        <v>0.23499999999999999</v>
      </c>
      <c r="F7">
        <f>(E7)</f>
        <v>0.23499999999999999</v>
      </c>
      <c r="G7">
        <f>(F7)</f>
        <v>0.23499999999999999</v>
      </c>
      <c r="H7">
        <f>G7+(M7-G7)/5</f>
        <v>0.23799999999999999</v>
      </c>
      <c r="I7">
        <f>H7+(M7-G7)/5</f>
        <v>0.24099999999999999</v>
      </c>
      <c r="J7">
        <f>I7+(M7-G7)/5</f>
        <v>0.24399999999999999</v>
      </c>
      <c r="K7">
        <f>J7+(M7-G7)/5</f>
        <v>0.247</v>
      </c>
      <c r="L7">
        <f>K7+(M7-G7)/5</f>
        <v>0.25</v>
      </c>
      <c r="M7">
        <f>'Scenario inputs'!C18</f>
        <v>0.25</v>
      </c>
    </row>
    <row r="8" spans="1:13" x14ac:dyDescent="0.35">
      <c r="A8" s="1" t="s">
        <v>45</v>
      </c>
      <c r="B8">
        <f t="shared" ref="B8:L8" si="2">IF(B6&gt;0,B6*(1-B7),B6)</f>
        <v>81.135645000000025</v>
      </c>
      <c r="C8">
        <f t="shared" si="2"/>
        <v>78.962235841312335</v>
      </c>
      <c r="D8">
        <f t="shared" si="2"/>
        <v>82.120725274964826</v>
      </c>
      <c r="E8">
        <f t="shared" si="2"/>
        <v>85.405554285963433</v>
      </c>
      <c r="F8">
        <f t="shared" si="2"/>
        <v>88.821776457401953</v>
      </c>
      <c r="G8">
        <f t="shared" si="2"/>
        <v>92.374647515698044</v>
      </c>
      <c r="H8">
        <f t="shared" si="2"/>
        <v>95.324840179885683</v>
      </c>
      <c r="I8">
        <f t="shared" si="2"/>
        <v>97.987930990580452</v>
      </c>
      <c r="J8">
        <f t="shared" si="2"/>
        <v>100.33344446915339</v>
      </c>
      <c r="K8">
        <f t="shared" si="2"/>
        <v>102.33374298110985</v>
      </c>
      <c r="L8">
        <f t="shared" si="2"/>
        <v>103.96455960232277</v>
      </c>
      <c r="M8">
        <f>M6*(1-M7)</f>
        <v>106.04385079436923</v>
      </c>
    </row>
    <row r="9" spans="1:13" x14ac:dyDescent="0.35">
      <c r="A9" s="1" t="s">
        <v>46</v>
      </c>
      <c r="C9">
        <f>'Scenario inputs'!C19</f>
        <v>2</v>
      </c>
      <c r="D9">
        <f>'Scenario inputs'!C19</f>
        <v>2</v>
      </c>
      <c r="E9">
        <f>'Scenario inputs'!C19</f>
        <v>2</v>
      </c>
      <c r="F9">
        <f>'Scenario inputs'!C19</f>
        <v>2</v>
      </c>
      <c r="G9">
        <f>'Scenario inputs'!C19</f>
        <v>2</v>
      </c>
      <c r="H9">
        <f>'Scenario inputs'!C20</f>
        <v>2</v>
      </c>
      <c r="I9">
        <f>'Scenario inputs'!C20</f>
        <v>2</v>
      </c>
      <c r="J9">
        <f>'Scenario inputs'!C20</f>
        <v>2</v>
      </c>
      <c r="K9">
        <f>'Scenario inputs'!C20</f>
        <v>2</v>
      </c>
      <c r="L9">
        <f>'Scenario inputs'!C20</f>
        <v>2</v>
      </c>
    </row>
    <row r="10" spans="1:13" x14ac:dyDescent="0.35">
      <c r="A10" s="1" t="s">
        <v>47</v>
      </c>
      <c r="C10">
        <f t="shared" ref="C10:L10" si="3">(D4-C4)/C9</f>
        <v>12.600004753800022</v>
      </c>
      <c r="D10">
        <f t="shared" si="3"/>
        <v>13.10400494395202</v>
      </c>
      <c r="E10">
        <f t="shared" si="3"/>
        <v>13.628165141710099</v>
      </c>
      <c r="F10">
        <f t="shared" si="3"/>
        <v>14.173291747378528</v>
      </c>
      <c r="G10">
        <f t="shared" si="3"/>
        <v>13.266201075546292</v>
      </c>
      <c r="H10">
        <f t="shared" si="3"/>
        <v>12.216697168236408</v>
      </c>
      <c r="I10">
        <f t="shared" si="3"/>
        <v>11.031677542917464</v>
      </c>
      <c r="J10">
        <f t="shared" si="3"/>
        <v>9.7204838692450153</v>
      </c>
      <c r="K10">
        <f t="shared" si="3"/>
        <v>8.2948129017557335</v>
      </c>
      <c r="L10">
        <f t="shared" si="3"/>
        <v>8.4607091597908379</v>
      </c>
      <c r="M10">
        <f>IF(M3&gt;0,(M3/B17)*M8,0)</f>
        <v>25.487327892124842</v>
      </c>
    </row>
    <row r="11" spans="1:13" x14ac:dyDescent="0.35">
      <c r="A11" s="1" t="s">
        <v>48</v>
      </c>
      <c r="C11">
        <f t="shared" ref="C11:M11" si="4">C8-C10</f>
        <v>66.362231087512313</v>
      </c>
      <c r="D11">
        <f t="shared" si="4"/>
        <v>69.016720331012806</v>
      </c>
      <c r="E11">
        <f t="shared" si="4"/>
        <v>71.777389144253334</v>
      </c>
      <c r="F11">
        <f t="shared" si="4"/>
        <v>74.648484710023425</v>
      </c>
      <c r="G11">
        <f t="shared" si="4"/>
        <v>79.108446440151752</v>
      </c>
      <c r="H11">
        <f t="shared" si="4"/>
        <v>83.108143011649275</v>
      </c>
      <c r="I11">
        <f t="shared" si="4"/>
        <v>86.956253447662988</v>
      </c>
      <c r="J11">
        <f t="shared" si="4"/>
        <v>90.612960599908376</v>
      </c>
      <c r="K11">
        <f t="shared" si="4"/>
        <v>94.038930079354117</v>
      </c>
      <c r="L11">
        <f t="shared" si="4"/>
        <v>95.503850442531927</v>
      </c>
      <c r="M11">
        <f t="shared" si="4"/>
        <v>80.556522902244396</v>
      </c>
    </row>
    <row r="12" spans="1:13" x14ac:dyDescent="0.35">
      <c r="A12" s="1" t="s">
        <v>49</v>
      </c>
      <c r="C12">
        <f>'Scenario inputs'!C21</f>
        <v>7.7021000000000006E-2</v>
      </c>
      <c r="D12">
        <f>'Scenario inputs'!C21</f>
        <v>7.7021000000000006E-2</v>
      </c>
      <c r="E12">
        <f>'Scenario inputs'!C21</f>
        <v>7.7021000000000006E-2</v>
      </c>
      <c r="F12">
        <f>'Scenario inputs'!C21</f>
        <v>7.7021000000000006E-2</v>
      </c>
      <c r="G12">
        <f>'Scenario inputs'!C21</f>
        <v>7.7021000000000006E-2</v>
      </c>
      <c r="H12">
        <f>G12-(G12-M12)/5</f>
        <v>7.8259400000000007E-2</v>
      </c>
      <c r="I12">
        <f>H12-(G12-M12)/5</f>
        <v>7.9497800000000007E-2</v>
      </c>
      <c r="J12">
        <f>I12-(G12-M12)/5</f>
        <v>8.0736200000000008E-2</v>
      </c>
      <c r="K12">
        <f>J12-(G12-M12)/5</f>
        <v>8.1974600000000009E-2</v>
      </c>
      <c r="L12">
        <f>K12-(G12-M12)/5</f>
        <v>8.3213000000000009E-2</v>
      </c>
      <c r="M12">
        <f>'Scenario inputs'!C22</f>
        <v>8.3212999999999995E-2</v>
      </c>
    </row>
    <row r="13" spans="1:13" x14ac:dyDescent="0.35">
      <c r="A13" s="1" t="s">
        <v>50</v>
      </c>
      <c r="C13">
        <f>1/(1+C12)</f>
        <v>0.92848700257469441</v>
      </c>
      <c r="D13">
        <f t="shared" ref="D13:L13" si="5">C13*(1/(1+D12))</f>
        <v>0.86208811395014062</v>
      </c>
      <c r="E13">
        <f t="shared" si="5"/>
        <v>0.80043760887683768</v>
      </c>
      <c r="F13">
        <f t="shared" si="5"/>
        <v>0.74319591621411063</v>
      </c>
      <c r="G13">
        <f t="shared" si="5"/>
        <v>0.69004774857139328</v>
      </c>
      <c r="H13">
        <f t="shared" si="5"/>
        <v>0.63996450999768073</v>
      </c>
      <c r="I13">
        <f t="shared" si="5"/>
        <v>0.59283539994030632</v>
      </c>
      <c r="J13">
        <f t="shared" si="5"/>
        <v>0.5485477399020281</v>
      </c>
      <c r="K13">
        <f t="shared" si="5"/>
        <v>0.50698763159692295</v>
      </c>
      <c r="L13">
        <f t="shared" si="5"/>
        <v>0.46804057151910378</v>
      </c>
    </row>
    <row r="14" spans="1:13" x14ac:dyDescent="0.35">
      <c r="A14" s="1" t="s">
        <v>51</v>
      </c>
      <c r="C14">
        <f t="shared" ref="C14:L14" si="6">C11*C13</f>
        <v>61.616469026613508</v>
      </c>
      <c r="D14">
        <f t="shared" si="6"/>
        <v>59.498494261187155</v>
      </c>
      <c r="E14">
        <f t="shared" si="6"/>
        <v>57.453321738048423</v>
      </c>
      <c r="F14">
        <f t="shared" si="6"/>
        <v>55.47844898806089</v>
      </c>
      <c r="G14">
        <f t="shared" si="6"/>
        <v>54.588605359007367</v>
      </c>
      <c r="H14">
        <f t="shared" si="6"/>
        <v>53.186262019267303</v>
      </c>
      <c r="I14">
        <f t="shared" si="6"/>
        <v>51.550745289955927</v>
      </c>
      <c r="J14">
        <f t="shared" si="6"/>
        <v>49.705534742911262</v>
      </c>
      <c r="K14">
        <f t="shared" si="6"/>
        <v>47.676574438840383</v>
      </c>
      <c r="L14">
        <f t="shared" si="6"/>
        <v>44.699676743397653</v>
      </c>
    </row>
    <row r="15" spans="1:13" x14ac:dyDescent="0.35">
      <c r="A15" s="1" t="s">
        <v>52</v>
      </c>
      <c r="B15">
        <f>'Scenario inputs'!C4</f>
        <v>313.43700000000001</v>
      </c>
      <c r="C15">
        <f t="shared" ref="C15:L15" si="7">B15+C10</f>
        <v>326.03700475380003</v>
      </c>
      <c r="D15">
        <f t="shared" si="7"/>
        <v>339.14100969775205</v>
      </c>
      <c r="E15">
        <f t="shared" si="7"/>
        <v>352.76917483946215</v>
      </c>
      <c r="F15">
        <f t="shared" si="7"/>
        <v>366.94246658684068</v>
      </c>
      <c r="G15">
        <f t="shared" si="7"/>
        <v>380.20866766238697</v>
      </c>
      <c r="H15">
        <f t="shared" si="7"/>
        <v>392.42536483062338</v>
      </c>
      <c r="I15">
        <f t="shared" si="7"/>
        <v>403.45704237354084</v>
      </c>
      <c r="J15">
        <f t="shared" si="7"/>
        <v>413.17752624278586</v>
      </c>
      <c r="K15">
        <f t="shared" si="7"/>
        <v>421.47233914454159</v>
      </c>
      <c r="L15">
        <f t="shared" si="7"/>
        <v>429.93304830433243</v>
      </c>
    </row>
    <row r="16" spans="1:13" x14ac:dyDescent="0.35">
      <c r="A16" s="1" t="s">
        <v>53</v>
      </c>
      <c r="B16">
        <f>B8/B15</f>
        <v>0.25885790445926937</v>
      </c>
      <c r="C16">
        <f t="shared" ref="C16:L16" si="8">C8/B15</f>
        <v>0.25192378641102464</v>
      </c>
      <c r="D16">
        <f t="shared" si="8"/>
        <v>0.25187547449399666</v>
      </c>
      <c r="E16">
        <f t="shared" si="8"/>
        <v>0.25182903819882546</v>
      </c>
      <c r="F16">
        <f t="shared" si="8"/>
        <v>0.25178440405917801</v>
      </c>
      <c r="G16">
        <f t="shared" si="8"/>
        <v>0.25174150153546382</v>
      </c>
      <c r="H16">
        <f t="shared" si="8"/>
        <v>0.25071716740695421</v>
      </c>
      <c r="I16">
        <f t="shared" si="8"/>
        <v>0.24969826054152616</v>
      </c>
      <c r="J16">
        <f t="shared" si="8"/>
        <v>0.24868433050242716</v>
      </c>
      <c r="K16">
        <f t="shared" si="8"/>
        <v>0.24767499798858339</v>
      </c>
      <c r="L16">
        <f t="shared" si="8"/>
        <v>0.24666994710338203</v>
      </c>
    </row>
    <row r="17" spans="1:2" x14ac:dyDescent="0.35">
      <c r="A17" s="1" t="s">
        <v>54</v>
      </c>
      <c r="B17">
        <f>IF('Scenario inputs'!C23=1,'Scenario inputs'!C24,L12)</f>
        <v>8.3213000000000009E-2</v>
      </c>
    </row>
    <row r="18" spans="1:2" x14ac:dyDescent="0.35">
      <c r="A18" s="1" t="s">
        <v>55</v>
      </c>
      <c r="B18">
        <f>M11/(M12-M3)</f>
        <v>1274.3663946062425</v>
      </c>
    </row>
    <row r="19" spans="1:2" x14ac:dyDescent="0.35">
      <c r="A19" s="1" t="s">
        <v>56</v>
      </c>
      <c r="B19">
        <f>B18*L13</f>
        <v>596.4551756562455</v>
      </c>
    </row>
    <row r="20" spans="1:2" x14ac:dyDescent="0.35">
      <c r="A20" s="1" t="s">
        <v>57</v>
      </c>
      <c r="B20">
        <f>SUM(C14:L14)</f>
        <v>535.45413260728981</v>
      </c>
    </row>
    <row r="21" spans="1:2" x14ac:dyDescent="0.35">
      <c r="A21" s="1" t="s">
        <v>58</v>
      </c>
      <c r="B21">
        <f>B19+B20</f>
        <v>1131.9093082635354</v>
      </c>
    </row>
    <row r="22" spans="1:2" x14ac:dyDescent="0.35">
      <c r="A22" s="1" t="s">
        <v>59</v>
      </c>
      <c r="B22">
        <f>'Scenario inputs'!C5</f>
        <v>86.995000000000005</v>
      </c>
    </row>
    <row r="23" spans="1:2" x14ac:dyDescent="0.35">
      <c r="A23" s="1" t="s">
        <v>60</v>
      </c>
      <c r="B23">
        <f>'Scenario inputs'!C6</f>
        <v>58.13</v>
      </c>
    </row>
    <row r="24" spans="1:2" x14ac:dyDescent="0.35">
      <c r="A24" s="1" t="s">
        <v>61</v>
      </c>
      <c r="B24">
        <f>'Scenario inputs'!C7</f>
        <v>0</v>
      </c>
    </row>
    <row r="25" spans="1:2" x14ac:dyDescent="0.35">
      <c r="A25" s="1" t="s">
        <v>62</v>
      </c>
      <c r="B25">
        <f>'Scenario inputs'!C8</f>
        <v>0</v>
      </c>
    </row>
    <row r="26" spans="1:2" x14ac:dyDescent="0.35">
      <c r="A26" s="1" t="s">
        <v>63</v>
      </c>
      <c r="B26">
        <f>B21-B22-B24+B23+B25</f>
        <v>1103.0443082635356</v>
      </c>
    </row>
    <row r="27" spans="1:2" x14ac:dyDescent="0.35">
      <c r="A27" s="1" t="s">
        <v>64</v>
      </c>
      <c r="B27">
        <f>'Scenario inputs'!C9</f>
        <v>0</v>
      </c>
    </row>
    <row r="28" spans="1:2" x14ac:dyDescent="0.35">
      <c r="A28" s="1" t="s">
        <v>65</v>
      </c>
      <c r="B28">
        <f>B26-B27</f>
        <v>1103.0443082635356</v>
      </c>
    </row>
    <row r="29" spans="1:2" x14ac:dyDescent="0.35">
      <c r="A29" s="1" t="s">
        <v>66</v>
      </c>
      <c r="B29">
        <f>'Scenario inputs'!C10</f>
        <v>13.633262999999999</v>
      </c>
    </row>
    <row r="30" spans="1:2" x14ac:dyDescent="0.35">
      <c r="A30" s="1" t="s">
        <v>67</v>
      </c>
      <c r="B30">
        <f>B28/B29</f>
        <v>80.908312871506666</v>
      </c>
    </row>
    <row r="31" spans="1:2" x14ac:dyDescent="0.35">
      <c r="A31" s="1" t="s">
        <v>68</v>
      </c>
      <c r="B31">
        <f>B19/B21</f>
        <v>0.52694608243063989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1"/>
  <sheetViews>
    <sheetView workbookViewId="0"/>
  </sheetViews>
  <sheetFormatPr defaultRowHeight="14.5" x14ac:dyDescent="0.35"/>
  <sheetData>
    <row r="1" spans="1:13" x14ac:dyDescent="0.35">
      <c r="A1" s="1"/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</row>
    <row r="2" spans="1:13" x14ac:dyDescent="0.35">
      <c r="A2" s="1" t="s">
        <v>39</v>
      </c>
      <c r="B2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</row>
    <row r="3" spans="1:13" x14ac:dyDescent="0.35">
      <c r="A3" s="1" t="s">
        <v>40</v>
      </c>
      <c r="C3">
        <f>'Scenario inputs'!D11</f>
        <v>3.6315E-2</v>
      </c>
      <c r="D3">
        <f>'Scenario inputs'!D12</f>
        <v>0.06</v>
      </c>
      <c r="E3">
        <f>'Scenario inputs'!D12</f>
        <v>0.06</v>
      </c>
      <c r="F3">
        <f>'Scenario inputs'!D12</f>
        <v>0.06</v>
      </c>
      <c r="G3">
        <f>'Scenario inputs'!D12</f>
        <v>0.06</v>
      </c>
      <c r="H3">
        <f>G3-((G3-M3)/5)*1</f>
        <v>5.2999999999999999E-2</v>
      </c>
      <c r="I3">
        <f>G3-((G3-M3)/5)*2</f>
        <v>4.5999999999999999E-2</v>
      </c>
      <c r="J3">
        <f>G3-((G3-M3)/5)*3</f>
        <v>3.9E-2</v>
      </c>
      <c r="K3">
        <f>G3-((G3-M3)/5)*4</f>
        <v>3.2000000000000001E-2</v>
      </c>
      <c r="L3">
        <f>G3-((G3-M3)/5)*5</f>
        <v>2.5000000000000001E-2</v>
      </c>
      <c r="M3">
        <f>'Scenario inputs'!D13</f>
        <v>2.5000000000000001E-2</v>
      </c>
    </row>
    <row r="4" spans="1:13" x14ac:dyDescent="0.35">
      <c r="A4" s="1" t="s">
        <v>41</v>
      </c>
      <c r="B4">
        <f>'Scenario inputs'!D2</f>
        <v>619.98500000000001</v>
      </c>
      <c r="C4">
        <f t="shared" ref="C4:M4" si="0">B4*(1+C3)</f>
        <v>642.4997552750001</v>
      </c>
      <c r="D4">
        <f t="shared" si="0"/>
        <v>681.04974059150015</v>
      </c>
      <c r="E4">
        <f t="shared" si="0"/>
        <v>721.91272502699019</v>
      </c>
      <c r="F4">
        <f t="shared" si="0"/>
        <v>765.22748852860968</v>
      </c>
      <c r="G4">
        <f t="shared" si="0"/>
        <v>811.14113784032634</v>
      </c>
      <c r="H4">
        <f t="shared" si="0"/>
        <v>854.13161814586363</v>
      </c>
      <c r="I4">
        <f t="shared" si="0"/>
        <v>893.42167258057339</v>
      </c>
      <c r="J4">
        <f t="shared" si="0"/>
        <v>928.26511781121565</v>
      </c>
      <c r="K4">
        <f t="shared" si="0"/>
        <v>957.96960158117463</v>
      </c>
      <c r="L4">
        <f t="shared" si="0"/>
        <v>981.91884162070392</v>
      </c>
      <c r="M4">
        <f t="shared" si="0"/>
        <v>1006.4668126612214</v>
      </c>
    </row>
    <row r="5" spans="1:13" x14ac:dyDescent="0.35">
      <c r="A5" s="1" t="s">
        <v>42</v>
      </c>
      <c r="B5">
        <f>B6/B4</f>
        <v>0.17106811723939563</v>
      </c>
      <c r="C5">
        <f>'Scenario inputs'!D14</f>
        <v>0.16928699999999999</v>
      </c>
      <c r="D5">
        <f>IF(D2&gt;'Scenario inputs'!D16,'Scenario inputs'!D15,'Scenario inputs'!D15-(('Scenario inputs'!D15-C5)/'Scenario inputs'!D16)*('Scenario inputs'!D16-D2))</f>
        <v>0.17357219999999998</v>
      </c>
      <c r="E5">
        <f>IF(E2&gt;'Scenario inputs'!D16,'Scenario inputs'!D15,'Scenario inputs'!D15-(('Scenario inputs'!D15-C5)/'Scenario inputs'!D16)*('Scenario inputs'!D16-E2))</f>
        <v>0.1757148</v>
      </c>
      <c r="F5">
        <f>IF(F2&gt;'Scenario inputs'!D16,'Scenario inputs'!D15,'Scenario inputs'!D15-(('Scenario inputs'!D15-C5)/'Scenario inputs'!D16)*('Scenario inputs'!D16-F2))</f>
        <v>0.1778574</v>
      </c>
      <c r="G5">
        <f>IF(G2&gt;'Scenario inputs'!D16,'Scenario inputs'!D15,'Scenario inputs'!D15-(('Scenario inputs'!D15-C5)/'Scenario inputs'!D16)*('Scenario inputs'!D16-G2))</f>
        <v>0.18</v>
      </c>
      <c r="H5">
        <f>IF(H2&gt;'Scenario inputs'!D16,'Scenario inputs'!D15,'Scenario inputs'!D15-(('Scenario inputs'!D15-C5)/'Scenario inputs'!D16)*('Scenario inputs'!D16-H2))</f>
        <v>0.18</v>
      </c>
      <c r="I5">
        <f>IF(I2&gt;'Scenario inputs'!D16,'Scenario inputs'!D15,'Scenario inputs'!D15-(('Scenario inputs'!D15-C5)/'Scenario inputs'!D16)*('Scenario inputs'!D16-I2))</f>
        <v>0.18</v>
      </c>
      <c r="J5">
        <f>IF(J2&gt;'Scenario inputs'!D16,'Scenario inputs'!D15,'Scenario inputs'!D15-(('Scenario inputs'!D15-C5)/'Scenario inputs'!D16)*('Scenario inputs'!D16-J2))</f>
        <v>0.18</v>
      </c>
      <c r="K5">
        <f>IF(K2&gt;'Scenario inputs'!D16,'Scenario inputs'!D15,'Scenario inputs'!D15-(('Scenario inputs'!D15-C5)/'Scenario inputs'!D16)*('Scenario inputs'!D16-K2))</f>
        <v>0.18</v>
      </c>
      <c r="L5">
        <f>IF(L2&gt;'Scenario inputs'!D16,'Scenario inputs'!D15,'Scenario inputs'!D15-(('Scenario inputs'!D15-C5)/'Scenario inputs'!D16)*('Scenario inputs'!D16-L2))</f>
        <v>0.18</v>
      </c>
      <c r="M5">
        <f>(L5)</f>
        <v>0.18</v>
      </c>
    </row>
    <row r="6" spans="1:13" x14ac:dyDescent="0.35">
      <c r="A6" s="1" t="s">
        <v>43</v>
      </c>
      <c r="B6">
        <f>'Scenario inputs'!D3</f>
        <v>106.0596666666667</v>
      </c>
      <c r="C6">
        <f t="shared" ref="C6:M6" si="1">C5*C4</f>
        <v>108.76685607123893</v>
      </c>
      <c r="D6">
        <f t="shared" si="1"/>
        <v>118.21130178389598</v>
      </c>
      <c r="E6">
        <f t="shared" si="1"/>
        <v>126.85075009557258</v>
      </c>
      <c r="F6">
        <f t="shared" si="1"/>
        <v>136.10137151822835</v>
      </c>
      <c r="G6">
        <f t="shared" si="1"/>
        <v>146.00540481125873</v>
      </c>
      <c r="H6">
        <f t="shared" si="1"/>
        <v>153.74369126625544</v>
      </c>
      <c r="I6">
        <f t="shared" si="1"/>
        <v>160.81590106450321</v>
      </c>
      <c r="J6">
        <f t="shared" si="1"/>
        <v>167.08772120601881</v>
      </c>
      <c r="K6">
        <f t="shared" si="1"/>
        <v>172.43452828461142</v>
      </c>
      <c r="L6">
        <f t="shared" si="1"/>
        <v>176.74539149172671</v>
      </c>
      <c r="M6">
        <f t="shared" si="1"/>
        <v>181.16402627901985</v>
      </c>
    </row>
    <row r="7" spans="1:13" x14ac:dyDescent="0.35">
      <c r="A7" s="1" t="s">
        <v>44</v>
      </c>
      <c r="B7">
        <f>'Scenario inputs'!D17</f>
        <v>0.23</v>
      </c>
      <c r="C7">
        <f>(B7)</f>
        <v>0.23</v>
      </c>
      <c r="D7">
        <f>(C7)</f>
        <v>0.23</v>
      </c>
      <c r="E7">
        <f>(D7)</f>
        <v>0.23</v>
      </c>
      <c r="F7">
        <f>(E7)</f>
        <v>0.23</v>
      </c>
      <c r="G7">
        <f>(F7)</f>
        <v>0.23</v>
      </c>
      <c r="H7">
        <f>G7+(M7-G7)/5</f>
        <v>0.23400000000000001</v>
      </c>
      <c r="I7">
        <f>H7+(M7-G7)/5</f>
        <v>0.23800000000000002</v>
      </c>
      <c r="J7">
        <f>I7+(M7-G7)/5</f>
        <v>0.24200000000000002</v>
      </c>
      <c r="K7">
        <f>J7+(M7-G7)/5</f>
        <v>0.24600000000000002</v>
      </c>
      <c r="L7">
        <f>K7+(M7-G7)/5</f>
        <v>0.25</v>
      </c>
      <c r="M7">
        <f>'Scenario inputs'!D18</f>
        <v>0.25</v>
      </c>
    </row>
    <row r="8" spans="1:13" x14ac:dyDescent="0.35">
      <c r="A8" s="1" t="s">
        <v>45</v>
      </c>
      <c r="B8">
        <f t="shared" ref="B8:L8" si="2">IF(B6&gt;0,B6*(1-B7),B6)</f>
        <v>81.66594333333336</v>
      </c>
      <c r="C8">
        <f t="shared" si="2"/>
        <v>83.750479174853979</v>
      </c>
      <c r="D8">
        <f t="shared" si="2"/>
        <v>91.022702373599898</v>
      </c>
      <c r="E8">
        <f t="shared" si="2"/>
        <v>97.675077573590883</v>
      </c>
      <c r="F8">
        <f t="shared" si="2"/>
        <v>104.79805606903582</v>
      </c>
      <c r="G8">
        <f t="shared" si="2"/>
        <v>112.42416170466922</v>
      </c>
      <c r="H8">
        <f t="shared" si="2"/>
        <v>117.76766750995166</v>
      </c>
      <c r="I8">
        <f t="shared" si="2"/>
        <v>122.54171661115144</v>
      </c>
      <c r="J8">
        <f t="shared" si="2"/>
        <v>126.65249267416226</v>
      </c>
      <c r="K8">
        <f t="shared" si="2"/>
        <v>130.015634326597</v>
      </c>
      <c r="L8">
        <f t="shared" si="2"/>
        <v>132.55904361879504</v>
      </c>
      <c r="M8">
        <f>M6*(1-M7)</f>
        <v>135.8730197092649</v>
      </c>
    </row>
    <row r="9" spans="1:13" x14ac:dyDescent="0.35">
      <c r="A9" s="1" t="s">
        <v>46</v>
      </c>
      <c r="C9">
        <f>'Scenario inputs'!D19</f>
        <v>2</v>
      </c>
      <c r="D9">
        <f>'Scenario inputs'!D19</f>
        <v>2</v>
      </c>
      <c r="E9">
        <f>'Scenario inputs'!D19</f>
        <v>2</v>
      </c>
      <c r="F9">
        <f>'Scenario inputs'!D19</f>
        <v>2</v>
      </c>
      <c r="G9">
        <f>'Scenario inputs'!D19</f>
        <v>2</v>
      </c>
      <c r="H9">
        <f>'Scenario inputs'!D20</f>
        <v>2</v>
      </c>
      <c r="I9">
        <f>'Scenario inputs'!D20</f>
        <v>2</v>
      </c>
      <c r="J9">
        <f>'Scenario inputs'!D20</f>
        <v>2</v>
      </c>
      <c r="K9">
        <f>'Scenario inputs'!D20</f>
        <v>2</v>
      </c>
      <c r="L9">
        <f>'Scenario inputs'!D20</f>
        <v>2</v>
      </c>
    </row>
    <row r="10" spans="1:13" x14ac:dyDescent="0.35">
      <c r="A10" s="1" t="s">
        <v>47</v>
      </c>
      <c r="C10">
        <f t="shared" ref="C10:L10" si="3">(D4-C4)/C9</f>
        <v>19.274992658250028</v>
      </c>
      <c r="D10">
        <f t="shared" si="3"/>
        <v>20.431492217745017</v>
      </c>
      <c r="E10">
        <f t="shared" si="3"/>
        <v>21.657381750809748</v>
      </c>
      <c r="F10">
        <f t="shared" si="3"/>
        <v>22.956824655858327</v>
      </c>
      <c r="G10">
        <f t="shared" si="3"/>
        <v>21.495240152768645</v>
      </c>
      <c r="H10">
        <f t="shared" si="3"/>
        <v>19.64502721735488</v>
      </c>
      <c r="I10">
        <f t="shared" si="3"/>
        <v>17.42172261532113</v>
      </c>
      <c r="J10">
        <f t="shared" si="3"/>
        <v>14.852241884979492</v>
      </c>
      <c r="K10">
        <f t="shared" si="3"/>
        <v>11.974620019764643</v>
      </c>
      <c r="L10">
        <f t="shared" si="3"/>
        <v>12.273985520258748</v>
      </c>
      <c r="M10">
        <f>IF(M3&gt;0,(M3/B17)*M8,0)</f>
        <v>22.645503284877485</v>
      </c>
    </row>
    <row r="11" spans="1:13" x14ac:dyDescent="0.35">
      <c r="A11" s="1" t="s">
        <v>48</v>
      </c>
      <c r="C11">
        <f t="shared" ref="C11:M11" si="4">C8-C10</f>
        <v>64.475486516603951</v>
      </c>
      <c r="D11">
        <f t="shared" si="4"/>
        <v>70.591210155854881</v>
      </c>
      <c r="E11">
        <f t="shared" si="4"/>
        <v>76.017695822781135</v>
      </c>
      <c r="F11">
        <f t="shared" si="4"/>
        <v>81.841231413177496</v>
      </c>
      <c r="G11">
        <f t="shared" si="4"/>
        <v>90.928921551900572</v>
      </c>
      <c r="H11">
        <f t="shared" si="4"/>
        <v>98.122640292596785</v>
      </c>
      <c r="I11">
        <f t="shared" si="4"/>
        <v>105.11999399583031</v>
      </c>
      <c r="J11">
        <f t="shared" si="4"/>
        <v>111.80025078918277</v>
      </c>
      <c r="K11">
        <f t="shared" si="4"/>
        <v>118.04101430683235</v>
      </c>
      <c r="L11">
        <f t="shared" si="4"/>
        <v>120.2850580985363</v>
      </c>
      <c r="M11">
        <f t="shared" si="4"/>
        <v>113.2275164243874</v>
      </c>
    </row>
    <row r="12" spans="1:13" x14ac:dyDescent="0.35">
      <c r="A12" s="1" t="s">
        <v>49</v>
      </c>
      <c r="C12">
        <f>'Scenario inputs'!D21</f>
        <v>7.4013999999999996E-2</v>
      </c>
      <c r="D12">
        <f>'Scenario inputs'!D21</f>
        <v>7.4013999999999996E-2</v>
      </c>
      <c r="E12">
        <f>'Scenario inputs'!D21</f>
        <v>7.4013999999999996E-2</v>
      </c>
      <c r="F12">
        <f>'Scenario inputs'!D21</f>
        <v>7.4013999999999996E-2</v>
      </c>
      <c r="G12">
        <f>'Scenario inputs'!D21</f>
        <v>7.4013999999999996E-2</v>
      </c>
      <c r="H12">
        <f>G12-(G12-M12)/5</f>
        <v>7.4013999999999996E-2</v>
      </c>
      <c r="I12">
        <f>H12-(G12-M12)/5</f>
        <v>7.4013999999999996E-2</v>
      </c>
      <c r="J12">
        <f>I12-(G12-M12)/5</f>
        <v>7.4013999999999996E-2</v>
      </c>
      <c r="K12">
        <f>J12-(G12-M12)/5</f>
        <v>7.4013999999999996E-2</v>
      </c>
      <c r="L12">
        <f>K12-(G12-M12)/5</f>
        <v>7.4013999999999996E-2</v>
      </c>
      <c r="M12">
        <f>'Scenario inputs'!D22</f>
        <v>7.4013999999999996E-2</v>
      </c>
    </row>
    <row r="13" spans="1:13" x14ac:dyDescent="0.35">
      <c r="A13" s="1" t="s">
        <v>50</v>
      </c>
      <c r="C13">
        <f>1/(1+C12)</f>
        <v>0.93108655939308049</v>
      </c>
      <c r="D13">
        <f t="shared" ref="D13:L13" si="5">C13*(1/(1+D12))</f>
        <v>0.86692218108244445</v>
      </c>
      <c r="E13">
        <f t="shared" si="5"/>
        <v>0.80717959084559832</v>
      </c>
      <c r="F13">
        <f t="shared" si="5"/>
        <v>0.75155406805274261</v>
      </c>
      <c r="G13">
        <f t="shared" si="5"/>
        <v>0.69976189142110123</v>
      </c>
      <c r="H13">
        <f t="shared" si="5"/>
        <v>0.65153889187766756</v>
      </c>
      <c r="I13">
        <f t="shared" si="5"/>
        <v>0.60663910514915775</v>
      </c>
      <c r="J13">
        <f t="shared" si="5"/>
        <v>0.56483351720662645</v>
      </c>
      <c r="K13">
        <f t="shared" si="5"/>
        <v>0.52590889616581016</v>
      </c>
      <c r="L13">
        <f t="shared" si="5"/>
        <v>0.48966670468523699</v>
      </c>
    </row>
    <row r="14" spans="1:13" x14ac:dyDescent="0.35">
      <c r="A14" s="1" t="s">
        <v>51</v>
      </c>
      <c r="C14">
        <f t="shared" ref="C14:L14" si="6">C11*C13</f>
        <v>60.032258905939727</v>
      </c>
      <c r="D14">
        <f t="shared" si="6"/>
        <v>61.197085873562919</v>
      </c>
      <c r="E14">
        <f t="shared" si="6"/>
        <v>61.359932611257626</v>
      </c>
      <c r="F14">
        <f t="shared" si="6"/>
        <v>61.508110403019458</v>
      </c>
      <c r="G14">
        <f t="shared" si="6"/>
        <v>63.628594130038877</v>
      </c>
      <c r="H14">
        <f t="shared" si="6"/>
        <v>63.930716324349483</v>
      </c>
      <c r="I14">
        <f t="shared" si="6"/>
        <v>63.769899090915338</v>
      </c>
      <c r="J14">
        <f t="shared" si="6"/>
        <v>63.148528877837016</v>
      </c>
      <c r="K14">
        <f t="shared" si="6"/>
        <v>62.078819536398804</v>
      </c>
      <c r="L14">
        <f t="shared" si="6"/>
        <v>58.899588021982545</v>
      </c>
    </row>
    <row r="15" spans="1:13" x14ac:dyDescent="0.35">
      <c r="A15" s="1" t="s">
        <v>52</v>
      </c>
      <c r="B15">
        <f>'Scenario inputs'!D4</f>
        <v>313.43700000000001</v>
      </c>
      <c r="C15">
        <f t="shared" ref="C15:L15" si="7">B15+C10</f>
        <v>332.71199265825004</v>
      </c>
      <c r="D15">
        <f t="shared" si="7"/>
        <v>353.14348487599506</v>
      </c>
      <c r="E15">
        <f t="shared" si="7"/>
        <v>374.8008666268048</v>
      </c>
      <c r="F15">
        <f t="shared" si="7"/>
        <v>397.75769128266313</v>
      </c>
      <c r="G15">
        <f t="shared" si="7"/>
        <v>419.25293143543178</v>
      </c>
      <c r="H15">
        <f t="shared" si="7"/>
        <v>438.89795865278666</v>
      </c>
      <c r="I15">
        <f t="shared" si="7"/>
        <v>456.31968126810779</v>
      </c>
      <c r="J15">
        <f t="shared" si="7"/>
        <v>471.17192315308728</v>
      </c>
      <c r="K15">
        <f t="shared" si="7"/>
        <v>483.14654317285192</v>
      </c>
      <c r="L15">
        <f t="shared" si="7"/>
        <v>495.42052869311067</v>
      </c>
    </row>
    <row r="16" spans="1:13" x14ac:dyDescent="0.35">
      <c r="A16" s="1" t="s">
        <v>53</v>
      </c>
      <c r="B16">
        <f>B8/B15</f>
        <v>0.26054978618776137</v>
      </c>
      <c r="C16">
        <f t="shared" ref="C16:L16" si="8">C8/B15</f>
        <v>0.26720035980070628</v>
      </c>
      <c r="D16">
        <f t="shared" si="8"/>
        <v>0.27357806265521423</v>
      </c>
      <c r="E16">
        <f t="shared" si="8"/>
        <v>0.27658751118653402</v>
      </c>
      <c r="F16">
        <f t="shared" si="8"/>
        <v>0.27960996198385241</v>
      </c>
      <c r="G16">
        <f t="shared" si="8"/>
        <v>0.28264484677123675</v>
      </c>
      <c r="H16">
        <f t="shared" si="8"/>
        <v>0.28089885288754102</v>
      </c>
      <c r="I16">
        <f t="shared" si="8"/>
        <v>0.27920320474330235</v>
      </c>
      <c r="J16">
        <f t="shared" si="8"/>
        <v>0.27755211504837191</v>
      </c>
      <c r="K16">
        <f t="shared" si="8"/>
        <v>0.27594096324019279</v>
      </c>
      <c r="L16">
        <f t="shared" si="8"/>
        <v>0.2743661224362115</v>
      </c>
    </row>
    <row r="17" spans="1:2" x14ac:dyDescent="0.35">
      <c r="A17" s="1" t="s">
        <v>54</v>
      </c>
      <c r="B17">
        <f>IF('Scenario inputs'!D23=1,'Scenario inputs'!D24,L12)</f>
        <v>0.15</v>
      </c>
    </row>
    <row r="18" spans="1:2" x14ac:dyDescent="0.35">
      <c r="A18" s="1" t="s">
        <v>55</v>
      </c>
      <c r="B18">
        <f>M11/(M12-M3)</f>
        <v>2310.1056111394178</v>
      </c>
    </row>
    <row r="19" spans="1:2" x14ac:dyDescent="0.35">
      <c r="A19" s="1" t="s">
        <v>56</v>
      </c>
      <c r="B19">
        <f>B18*L13</f>
        <v>1131.1818020815142</v>
      </c>
    </row>
    <row r="20" spans="1:2" x14ac:dyDescent="0.35">
      <c r="A20" s="1" t="s">
        <v>57</v>
      </c>
      <c r="B20">
        <f>SUM(C14:L14)</f>
        <v>619.55353377530184</v>
      </c>
    </row>
    <row r="21" spans="1:2" x14ac:dyDescent="0.35">
      <c r="A21" s="1" t="s">
        <v>58</v>
      </c>
      <c r="B21">
        <f>B19+B20</f>
        <v>1750.7353358568162</v>
      </c>
    </row>
    <row r="22" spans="1:2" x14ac:dyDescent="0.35">
      <c r="A22" s="1" t="s">
        <v>59</v>
      </c>
      <c r="B22">
        <f>'Scenario inputs'!D5</f>
        <v>86.995000000000005</v>
      </c>
    </row>
    <row r="23" spans="1:2" x14ac:dyDescent="0.35">
      <c r="A23" s="1" t="s">
        <v>60</v>
      </c>
      <c r="B23">
        <f>'Scenario inputs'!D6</f>
        <v>58.13</v>
      </c>
    </row>
    <row r="24" spans="1:2" x14ac:dyDescent="0.35">
      <c r="A24" s="1" t="s">
        <v>61</v>
      </c>
      <c r="B24">
        <f>'Scenario inputs'!D7</f>
        <v>0</v>
      </c>
    </row>
    <row r="25" spans="1:2" x14ac:dyDescent="0.35">
      <c r="A25" s="1" t="s">
        <v>62</v>
      </c>
      <c r="B25">
        <f>'Scenario inputs'!D8</f>
        <v>0</v>
      </c>
    </row>
    <row r="26" spans="1:2" x14ac:dyDescent="0.35">
      <c r="A26" s="1" t="s">
        <v>63</v>
      </c>
      <c r="B26">
        <f>B21-B22-B24+B23+B25</f>
        <v>1721.8703358568164</v>
      </c>
    </row>
    <row r="27" spans="1:2" x14ac:dyDescent="0.35">
      <c r="A27" s="1" t="s">
        <v>64</v>
      </c>
      <c r="B27">
        <f>'Scenario inputs'!D9</f>
        <v>0</v>
      </c>
    </row>
    <row r="28" spans="1:2" x14ac:dyDescent="0.35">
      <c r="A28" s="1" t="s">
        <v>65</v>
      </c>
      <c r="B28">
        <f>B26-B27</f>
        <v>1721.8703358568164</v>
      </c>
    </row>
    <row r="29" spans="1:2" x14ac:dyDescent="0.35">
      <c r="A29" s="1" t="s">
        <v>66</v>
      </c>
      <c r="B29">
        <f>'Scenario inputs'!D10</f>
        <v>13.633262999999999</v>
      </c>
    </row>
    <row r="30" spans="1:2" x14ac:dyDescent="0.35">
      <c r="A30" s="1" t="s">
        <v>67</v>
      </c>
      <c r="B30">
        <f>B28/B29</f>
        <v>126.29920921035679</v>
      </c>
    </row>
    <row r="31" spans="1:2" x14ac:dyDescent="0.35">
      <c r="A31" s="1" t="s">
        <v>68</v>
      </c>
      <c r="B31">
        <f>B19/B21</f>
        <v>0.64611810758244037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1"/>
  <sheetViews>
    <sheetView workbookViewId="0"/>
  </sheetViews>
  <sheetFormatPr defaultRowHeight="14.5" x14ac:dyDescent="0.35"/>
  <sheetData>
    <row r="1" spans="1:13" x14ac:dyDescent="0.35">
      <c r="A1" s="1"/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</row>
    <row r="2" spans="1:13" x14ac:dyDescent="0.35">
      <c r="A2" s="1" t="s">
        <v>39</v>
      </c>
      <c r="B2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</row>
    <row r="3" spans="1:13" x14ac:dyDescent="0.35">
      <c r="A3" s="1" t="s">
        <v>40</v>
      </c>
      <c r="C3">
        <f>'Scenario inputs'!E11</f>
        <v>5.6476999999999999E-2</v>
      </c>
      <c r="D3">
        <f>'Scenario inputs'!E12</f>
        <v>7.0000000000000007E-2</v>
      </c>
      <c r="E3">
        <f>'Scenario inputs'!E12</f>
        <v>7.0000000000000007E-2</v>
      </c>
      <c r="F3">
        <f>'Scenario inputs'!E12</f>
        <v>7.0000000000000007E-2</v>
      </c>
      <c r="G3">
        <f>'Scenario inputs'!E12</f>
        <v>7.0000000000000007E-2</v>
      </c>
      <c r="H3">
        <f>G3-((G3-M3)/5)*1</f>
        <v>6.2000000000000006E-2</v>
      </c>
      <c r="I3">
        <f>G3-((G3-M3)/5)*2</f>
        <v>5.4000000000000006E-2</v>
      </c>
      <c r="J3">
        <f>G3-((G3-M3)/5)*3</f>
        <v>4.5999999999999999E-2</v>
      </c>
      <c r="K3">
        <f>G3-((G3-M3)/5)*4</f>
        <v>3.7999999999999999E-2</v>
      </c>
      <c r="L3">
        <f>G3-((G3-M3)/5)*5</f>
        <v>0.03</v>
      </c>
      <c r="M3">
        <f>'Scenario inputs'!E13</f>
        <v>0.03</v>
      </c>
    </row>
    <row r="4" spans="1:13" x14ac:dyDescent="0.35">
      <c r="A4" s="1" t="s">
        <v>41</v>
      </c>
      <c r="B4">
        <f>'Scenario inputs'!E2</f>
        <v>619.98500000000001</v>
      </c>
      <c r="C4">
        <f t="shared" ref="C4:M4" si="0">B4*(1+C3)</f>
        <v>654.99989284500009</v>
      </c>
      <c r="D4">
        <f t="shared" si="0"/>
        <v>700.84988534415015</v>
      </c>
      <c r="E4">
        <f t="shared" si="0"/>
        <v>749.90937731824067</v>
      </c>
      <c r="F4">
        <f t="shared" si="0"/>
        <v>802.40303373051756</v>
      </c>
      <c r="G4">
        <f t="shared" si="0"/>
        <v>858.57124609165385</v>
      </c>
      <c r="H4">
        <f t="shared" si="0"/>
        <v>911.8026633493364</v>
      </c>
      <c r="I4">
        <f t="shared" si="0"/>
        <v>961.04000717020062</v>
      </c>
      <c r="J4">
        <f t="shared" si="0"/>
        <v>1005.2478475000299</v>
      </c>
      <c r="K4">
        <f t="shared" si="0"/>
        <v>1043.4472657050312</v>
      </c>
      <c r="L4">
        <f t="shared" si="0"/>
        <v>1074.7506836761822</v>
      </c>
      <c r="M4">
        <f t="shared" si="0"/>
        <v>1106.9932041864677</v>
      </c>
    </row>
    <row r="5" spans="1:13" x14ac:dyDescent="0.35">
      <c r="A5" s="1" t="s">
        <v>42</v>
      </c>
      <c r="B5">
        <f>B6/B4</f>
        <v>0.17106811723939563</v>
      </c>
      <c r="C5">
        <f>'Scenario inputs'!E14</f>
        <v>0.174734</v>
      </c>
      <c r="D5">
        <f>IF(D2&gt;'Scenario inputs'!E16,'Scenario inputs'!E15,'Scenario inputs'!E15-(('Scenario inputs'!E15-C5)/'Scenario inputs'!E16)*('Scenario inputs'!E16-D2))</f>
        <v>0.18484040000000002</v>
      </c>
      <c r="E5">
        <f>IF(E2&gt;'Scenario inputs'!E16,'Scenario inputs'!E15,'Scenario inputs'!E15-(('Scenario inputs'!E15-C5)/'Scenario inputs'!E16)*('Scenario inputs'!E16-E2))</f>
        <v>0.1898936</v>
      </c>
      <c r="F5">
        <f>IF(F2&gt;'Scenario inputs'!E16,'Scenario inputs'!E15,'Scenario inputs'!E15-(('Scenario inputs'!E15-C5)/'Scenario inputs'!E16)*('Scenario inputs'!E16-F2))</f>
        <v>0.1949468</v>
      </c>
      <c r="G5">
        <f>IF(G2&gt;'Scenario inputs'!E16,'Scenario inputs'!E15,'Scenario inputs'!E15-(('Scenario inputs'!E15-C5)/'Scenario inputs'!E16)*('Scenario inputs'!E16-G2))</f>
        <v>0.2</v>
      </c>
      <c r="H5">
        <f>IF(H2&gt;'Scenario inputs'!E16,'Scenario inputs'!E15,'Scenario inputs'!E15-(('Scenario inputs'!E15-C5)/'Scenario inputs'!E16)*('Scenario inputs'!E16-H2))</f>
        <v>0.2</v>
      </c>
      <c r="I5">
        <f>IF(I2&gt;'Scenario inputs'!E16,'Scenario inputs'!E15,'Scenario inputs'!E15-(('Scenario inputs'!E15-C5)/'Scenario inputs'!E16)*('Scenario inputs'!E16-I2))</f>
        <v>0.2</v>
      </c>
      <c r="J5">
        <f>IF(J2&gt;'Scenario inputs'!E16,'Scenario inputs'!E15,'Scenario inputs'!E15-(('Scenario inputs'!E15-C5)/'Scenario inputs'!E16)*('Scenario inputs'!E16-J2))</f>
        <v>0.2</v>
      </c>
      <c r="K5">
        <f>IF(K2&gt;'Scenario inputs'!E16,'Scenario inputs'!E15,'Scenario inputs'!E15-(('Scenario inputs'!E15-C5)/'Scenario inputs'!E16)*('Scenario inputs'!E16-K2))</f>
        <v>0.2</v>
      </c>
      <c r="L5">
        <f>IF(L2&gt;'Scenario inputs'!E16,'Scenario inputs'!E15,'Scenario inputs'!E15-(('Scenario inputs'!E15-C5)/'Scenario inputs'!E16)*('Scenario inputs'!E16-L2))</f>
        <v>0.2</v>
      </c>
      <c r="M5">
        <f>(L5)</f>
        <v>0.2</v>
      </c>
    </row>
    <row r="6" spans="1:13" x14ac:dyDescent="0.35">
      <c r="A6" s="1" t="s">
        <v>43</v>
      </c>
      <c r="B6">
        <f>'Scenario inputs'!E3</f>
        <v>106.0596666666667</v>
      </c>
      <c r="C6">
        <f t="shared" ref="C6:M6" si="1">C5*C4</f>
        <v>114.45075127637824</v>
      </c>
      <c r="D6">
        <f t="shared" si="1"/>
        <v>129.54537314696685</v>
      </c>
      <c r="E6">
        <f t="shared" si="1"/>
        <v>142.40299133271907</v>
      </c>
      <c r="F6">
        <f t="shared" si="1"/>
        <v>156.42590373605645</v>
      </c>
      <c r="G6">
        <f t="shared" si="1"/>
        <v>171.71424921833079</v>
      </c>
      <c r="H6">
        <f t="shared" si="1"/>
        <v>182.3605326698673</v>
      </c>
      <c r="I6">
        <f t="shared" si="1"/>
        <v>192.20800143404014</v>
      </c>
      <c r="J6">
        <f t="shared" si="1"/>
        <v>201.04956950000599</v>
      </c>
      <c r="K6">
        <f t="shared" si="1"/>
        <v>208.68945314100625</v>
      </c>
      <c r="L6">
        <f t="shared" si="1"/>
        <v>214.95013673523647</v>
      </c>
      <c r="M6">
        <f t="shared" si="1"/>
        <v>221.39864083729356</v>
      </c>
    </row>
    <row r="7" spans="1:13" x14ac:dyDescent="0.35">
      <c r="A7" s="1" t="s">
        <v>44</v>
      </c>
      <c r="B7">
        <f>'Scenario inputs'!E17</f>
        <v>0.22500000000000001</v>
      </c>
      <c r="C7">
        <f>(B7)</f>
        <v>0.22500000000000001</v>
      </c>
      <c r="D7">
        <f>(C7)</f>
        <v>0.22500000000000001</v>
      </c>
      <c r="E7">
        <f>(D7)</f>
        <v>0.22500000000000001</v>
      </c>
      <c r="F7">
        <f>(E7)</f>
        <v>0.22500000000000001</v>
      </c>
      <c r="G7">
        <f>(F7)</f>
        <v>0.22500000000000001</v>
      </c>
      <c r="H7">
        <f>G7+(M7-G7)/5</f>
        <v>0.23</v>
      </c>
      <c r="I7">
        <f>H7+(M7-G7)/5</f>
        <v>0.23500000000000001</v>
      </c>
      <c r="J7">
        <f>I7+(M7-G7)/5</f>
        <v>0.24000000000000002</v>
      </c>
      <c r="K7">
        <f>J7+(M7-G7)/5</f>
        <v>0.24500000000000002</v>
      </c>
      <c r="L7">
        <f>K7+(M7-G7)/5</f>
        <v>0.25</v>
      </c>
      <c r="M7">
        <f>'Scenario inputs'!E18</f>
        <v>0.25</v>
      </c>
    </row>
    <row r="8" spans="1:13" x14ac:dyDescent="0.35">
      <c r="A8" s="1" t="s">
        <v>45</v>
      </c>
      <c r="B8">
        <f t="shared" ref="B8:L8" si="2">IF(B6&gt;0,B6*(1-B7),B6)</f>
        <v>82.196241666666694</v>
      </c>
      <c r="C8">
        <f t="shared" si="2"/>
        <v>88.69933223919314</v>
      </c>
      <c r="D8">
        <f t="shared" si="2"/>
        <v>100.39766418889931</v>
      </c>
      <c r="E8">
        <f t="shared" si="2"/>
        <v>110.36231828285729</v>
      </c>
      <c r="F8">
        <f t="shared" si="2"/>
        <v>121.23007539544376</v>
      </c>
      <c r="G8">
        <f t="shared" si="2"/>
        <v>133.07854314420638</v>
      </c>
      <c r="H8">
        <f t="shared" si="2"/>
        <v>140.41761015579783</v>
      </c>
      <c r="I8">
        <f t="shared" si="2"/>
        <v>147.03912109704072</v>
      </c>
      <c r="J8">
        <f t="shared" si="2"/>
        <v>152.79767282000455</v>
      </c>
      <c r="K8">
        <f t="shared" si="2"/>
        <v>157.56053712145973</v>
      </c>
      <c r="L8">
        <f t="shared" si="2"/>
        <v>161.21260255142735</v>
      </c>
      <c r="M8">
        <f>M6*(1-M7)</f>
        <v>166.04898062797017</v>
      </c>
    </row>
    <row r="9" spans="1:13" x14ac:dyDescent="0.35">
      <c r="A9" s="1" t="s">
        <v>46</v>
      </c>
      <c r="C9">
        <f>'Scenario inputs'!E19</f>
        <v>2</v>
      </c>
      <c r="D9">
        <f>'Scenario inputs'!E19</f>
        <v>2</v>
      </c>
      <c r="E9">
        <f>'Scenario inputs'!E19</f>
        <v>2</v>
      </c>
      <c r="F9">
        <f>'Scenario inputs'!E19</f>
        <v>2</v>
      </c>
      <c r="G9">
        <f>'Scenario inputs'!E19</f>
        <v>2</v>
      </c>
      <c r="H9">
        <f>'Scenario inputs'!E20</f>
        <v>2</v>
      </c>
      <c r="I9">
        <f>'Scenario inputs'!E20</f>
        <v>2</v>
      </c>
      <c r="J9">
        <f>'Scenario inputs'!E20</f>
        <v>2</v>
      </c>
      <c r="K9">
        <f>'Scenario inputs'!E20</f>
        <v>2</v>
      </c>
      <c r="L9">
        <f>'Scenario inputs'!E20</f>
        <v>2</v>
      </c>
    </row>
    <row r="10" spans="1:13" x14ac:dyDescent="0.35">
      <c r="A10" s="1" t="s">
        <v>47</v>
      </c>
      <c r="C10">
        <f t="shared" ref="C10:L10" si="3">(D4-C4)/C9</f>
        <v>22.924996249575031</v>
      </c>
      <c r="D10">
        <f t="shared" si="3"/>
        <v>24.52974598704526</v>
      </c>
      <c r="E10">
        <f t="shared" si="3"/>
        <v>26.246828206138446</v>
      </c>
      <c r="F10">
        <f t="shared" si="3"/>
        <v>28.084106180568142</v>
      </c>
      <c r="G10">
        <f t="shared" si="3"/>
        <v>26.615708628841276</v>
      </c>
      <c r="H10">
        <f t="shared" si="3"/>
        <v>24.618671910432113</v>
      </c>
      <c r="I10">
        <f t="shared" si="3"/>
        <v>22.103920164914655</v>
      </c>
      <c r="J10">
        <f t="shared" si="3"/>
        <v>19.09970910250064</v>
      </c>
      <c r="K10">
        <f t="shared" si="3"/>
        <v>15.65170898557551</v>
      </c>
      <c r="L10">
        <f t="shared" si="3"/>
        <v>16.121260255142715</v>
      </c>
      <c r="M10">
        <f>IF(M3&gt;0,(M3/B17)*M8,0)</f>
        <v>24.907347094195526</v>
      </c>
    </row>
    <row r="11" spans="1:13" x14ac:dyDescent="0.35">
      <c r="A11" s="1" t="s">
        <v>48</v>
      </c>
      <c r="C11">
        <f t="shared" ref="C11:M11" si="4">C8-C10</f>
        <v>65.774335989618109</v>
      </c>
      <c r="D11">
        <f t="shared" si="4"/>
        <v>75.867918201854053</v>
      </c>
      <c r="E11">
        <f t="shared" si="4"/>
        <v>84.115490076718842</v>
      </c>
      <c r="F11">
        <f t="shared" si="4"/>
        <v>93.14596921487562</v>
      </c>
      <c r="G11">
        <f t="shared" si="4"/>
        <v>106.4628345153651</v>
      </c>
      <c r="H11">
        <f t="shared" si="4"/>
        <v>115.79893824536572</v>
      </c>
      <c r="I11">
        <f t="shared" si="4"/>
        <v>124.93520093212607</v>
      </c>
      <c r="J11">
        <f t="shared" si="4"/>
        <v>133.69796371750391</v>
      </c>
      <c r="K11">
        <f t="shared" si="4"/>
        <v>141.90882813588422</v>
      </c>
      <c r="L11">
        <f t="shared" si="4"/>
        <v>145.09134229628464</v>
      </c>
      <c r="M11">
        <f t="shared" si="4"/>
        <v>141.14163353377464</v>
      </c>
    </row>
    <row r="12" spans="1:13" x14ac:dyDescent="0.35">
      <c r="A12" s="1" t="s">
        <v>49</v>
      </c>
      <c r="C12">
        <f>'Scenario inputs'!E21</f>
        <v>6.5809999999999994E-2</v>
      </c>
      <c r="D12">
        <f>'Scenario inputs'!E21</f>
        <v>6.5809999999999994E-2</v>
      </c>
      <c r="E12">
        <f>'Scenario inputs'!E21</f>
        <v>6.5809999999999994E-2</v>
      </c>
      <c r="F12">
        <f>'Scenario inputs'!E21</f>
        <v>6.5809999999999994E-2</v>
      </c>
      <c r="G12">
        <f>'Scenario inputs'!E21</f>
        <v>6.5809999999999994E-2</v>
      </c>
      <c r="H12">
        <f>G12-(G12-M12)/5</f>
        <v>6.5809999999999994E-2</v>
      </c>
      <c r="I12">
        <f>H12-(G12-M12)/5</f>
        <v>6.5809999999999994E-2</v>
      </c>
      <c r="J12">
        <f>I12-(G12-M12)/5</f>
        <v>6.5809999999999994E-2</v>
      </c>
      <c r="K12">
        <f>J12-(G12-M12)/5</f>
        <v>6.5809999999999994E-2</v>
      </c>
      <c r="L12">
        <f>K12-(G12-M12)/5</f>
        <v>6.5809999999999994E-2</v>
      </c>
      <c r="M12">
        <f>'Scenario inputs'!E22</f>
        <v>6.5809999999999994E-2</v>
      </c>
    </row>
    <row r="13" spans="1:13" x14ac:dyDescent="0.35">
      <c r="A13" s="1" t="s">
        <v>50</v>
      </c>
      <c r="C13">
        <f>1/(1+C12)</f>
        <v>0.9382535348701927</v>
      </c>
      <c r="D13">
        <f t="shared" ref="D13:L13" si="5">C13*(1/(1+D12))</f>
        <v>0.88031969569641189</v>
      </c>
      <c r="E13">
        <f t="shared" si="5"/>
        <v>0.82596306630301086</v>
      </c>
      <c r="F13">
        <f t="shared" si="5"/>
        <v>0.77496276663102326</v>
      </c>
      <c r="G13">
        <f t="shared" si="5"/>
        <v>0.72711155518434178</v>
      </c>
      <c r="H13">
        <f t="shared" si="5"/>
        <v>0.68221498689667182</v>
      </c>
      <c r="I13">
        <f t="shared" si="5"/>
        <v>0.64009062299722452</v>
      </c>
      <c r="J13">
        <f t="shared" si="5"/>
        <v>0.60056728966440975</v>
      </c>
      <c r="K13">
        <f t="shared" si="5"/>
        <v>0.5634843824550434</v>
      </c>
      <c r="L13">
        <f t="shared" si="5"/>
        <v>0.52869121368259209</v>
      </c>
    </row>
    <row r="14" spans="1:13" x14ac:dyDescent="0.35">
      <c r="A14" s="1" t="s">
        <v>51</v>
      </c>
      <c r="C14">
        <f t="shared" ref="C14:L14" si="6">C11*C13</f>
        <v>61.713003245998927</v>
      </c>
      <c r="D14">
        <f t="shared" si="6"/>
        <v>66.788022664576431</v>
      </c>
      <c r="E14">
        <f t="shared" si="6"/>
        <v>69.476288107347173</v>
      </c>
      <c r="F14">
        <f t="shared" si="6"/>
        <v>72.184658003288135</v>
      </c>
      <c r="G14">
        <f t="shared" si="6"/>
        <v>77.410357173800335</v>
      </c>
      <c r="H14">
        <f t="shared" si="6"/>
        <v>78.999771137710681</v>
      </c>
      <c r="I14">
        <f t="shared" si="6"/>
        <v>79.969850598928005</v>
      </c>
      <c r="J14">
        <f t="shared" si="6"/>
        <v>80.294623703471913</v>
      </c>
      <c r="K14">
        <f t="shared" si="6"/>
        <v>79.963408387067602</v>
      </c>
      <c r="L14">
        <f t="shared" si="6"/>
        <v>76.708517853459128</v>
      </c>
    </row>
    <row r="15" spans="1:13" x14ac:dyDescent="0.35">
      <c r="A15" s="1" t="s">
        <v>52</v>
      </c>
      <c r="B15">
        <f>'Scenario inputs'!E4</f>
        <v>313.43700000000001</v>
      </c>
      <c r="C15">
        <f t="shared" ref="C15:L15" si="7">B15+C10</f>
        <v>336.36199624957504</v>
      </c>
      <c r="D15">
        <f t="shared" si="7"/>
        <v>360.8917422366203</v>
      </c>
      <c r="E15">
        <f t="shared" si="7"/>
        <v>387.13857044275875</v>
      </c>
      <c r="F15">
        <f t="shared" si="7"/>
        <v>415.22267662332689</v>
      </c>
      <c r="G15">
        <f t="shared" si="7"/>
        <v>441.83838525216817</v>
      </c>
      <c r="H15">
        <f t="shared" si="7"/>
        <v>466.45705716260028</v>
      </c>
      <c r="I15">
        <f t="shared" si="7"/>
        <v>488.56097732751493</v>
      </c>
      <c r="J15">
        <f t="shared" si="7"/>
        <v>507.66068643001557</v>
      </c>
      <c r="K15">
        <f t="shared" si="7"/>
        <v>523.31239541559103</v>
      </c>
      <c r="L15">
        <f t="shared" si="7"/>
        <v>539.43365567073374</v>
      </c>
    </row>
    <row r="16" spans="1:13" x14ac:dyDescent="0.35">
      <c r="A16" s="1" t="s">
        <v>53</v>
      </c>
      <c r="B16">
        <f>B8/B15</f>
        <v>0.26224166791625331</v>
      </c>
      <c r="C16">
        <f t="shared" ref="C16:L16" si="8">C8/B15</f>
        <v>0.28298934790466068</v>
      </c>
      <c r="D16">
        <f t="shared" si="8"/>
        <v>0.29848099758096902</v>
      </c>
      <c r="E16">
        <f t="shared" si="8"/>
        <v>0.30580449859808023</v>
      </c>
      <c r="F16">
        <f t="shared" si="8"/>
        <v>0.31314388348543148</v>
      </c>
      <c r="G16">
        <f t="shared" si="8"/>
        <v>0.32049921797727299</v>
      </c>
      <c r="H16">
        <f t="shared" si="8"/>
        <v>0.31780310367479275</v>
      </c>
      <c r="I16">
        <f t="shared" si="8"/>
        <v>0.31522541858721409</v>
      </c>
      <c r="J16">
        <f t="shared" si="8"/>
        <v>0.31275046495900161</v>
      </c>
      <c r="K16">
        <f t="shared" si="8"/>
        <v>0.31036584343266949</v>
      </c>
      <c r="L16">
        <f t="shared" si="8"/>
        <v>0.30806188418946123</v>
      </c>
    </row>
    <row r="17" spans="1:2" x14ac:dyDescent="0.35">
      <c r="A17" s="1" t="s">
        <v>54</v>
      </c>
      <c r="B17">
        <f>IF('Scenario inputs'!E23=1,'Scenario inputs'!E24,L12)</f>
        <v>0.2</v>
      </c>
    </row>
    <row r="18" spans="1:2" x14ac:dyDescent="0.35">
      <c r="A18" s="1" t="s">
        <v>55</v>
      </c>
      <c r="B18">
        <f>M11/(M12-M3)</f>
        <v>3941.4027794966396</v>
      </c>
    </row>
    <row r="19" spans="1:2" x14ac:dyDescent="0.35">
      <c r="A19" s="1" t="s">
        <v>56</v>
      </c>
      <c r="B19">
        <f>B18*L13</f>
        <v>2083.7850191040202</v>
      </c>
    </row>
    <row r="20" spans="1:2" x14ac:dyDescent="0.35">
      <c r="A20" s="1" t="s">
        <v>57</v>
      </c>
      <c r="B20">
        <f>SUM(C14:L14)</f>
        <v>743.50850087564834</v>
      </c>
    </row>
    <row r="21" spans="1:2" x14ac:dyDescent="0.35">
      <c r="A21" s="1" t="s">
        <v>58</v>
      </c>
      <c r="B21">
        <f>B19+B20</f>
        <v>2827.2935199796684</v>
      </c>
    </row>
    <row r="22" spans="1:2" x14ac:dyDescent="0.35">
      <c r="A22" s="1" t="s">
        <v>59</v>
      </c>
      <c r="B22">
        <f>'Scenario inputs'!E5</f>
        <v>86.995000000000005</v>
      </c>
    </row>
    <row r="23" spans="1:2" x14ac:dyDescent="0.35">
      <c r="A23" s="1" t="s">
        <v>60</v>
      </c>
      <c r="B23">
        <f>'Scenario inputs'!E6</f>
        <v>58.13</v>
      </c>
    </row>
    <row r="24" spans="1:2" x14ac:dyDescent="0.35">
      <c r="A24" s="1" t="s">
        <v>61</v>
      </c>
      <c r="B24">
        <f>'Scenario inputs'!E7</f>
        <v>0</v>
      </c>
    </row>
    <row r="25" spans="1:2" x14ac:dyDescent="0.35">
      <c r="A25" s="1" t="s">
        <v>62</v>
      </c>
      <c r="B25">
        <f>'Scenario inputs'!E8</f>
        <v>0</v>
      </c>
    </row>
    <row r="26" spans="1:2" x14ac:dyDescent="0.35">
      <c r="A26" s="1" t="s">
        <v>63</v>
      </c>
      <c r="B26">
        <f>B21-B22-B24+B23+B25</f>
        <v>2798.4285199796686</v>
      </c>
    </row>
    <row r="27" spans="1:2" x14ac:dyDescent="0.35">
      <c r="A27" s="1" t="s">
        <v>64</v>
      </c>
      <c r="B27">
        <f>'Scenario inputs'!E9</f>
        <v>0</v>
      </c>
    </row>
    <row r="28" spans="1:2" x14ac:dyDescent="0.35">
      <c r="A28" s="1" t="s">
        <v>65</v>
      </c>
      <c r="B28">
        <f>B26-B27</f>
        <v>2798.4285199796686</v>
      </c>
    </row>
    <row r="29" spans="1:2" x14ac:dyDescent="0.35">
      <c r="A29" s="1" t="s">
        <v>66</v>
      </c>
      <c r="B29">
        <f>'Scenario inputs'!E10</f>
        <v>13.633262999999999</v>
      </c>
    </row>
    <row r="30" spans="1:2" x14ac:dyDescent="0.35">
      <c r="A30" s="1" t="s">
        <v>67</v>
      </c>
      <c r="B30">
        <f>B28/B29</f>
        <v>205.26476456734304</v>
      </c>
    </row>
    <row r="31" spans="1:2" x14ac:dyDescent="0.35">
      <c r="A31" s="1" t="s">
        <v>68</v>
      </c>
      <c r="B31">
        <f>B19/B21</f>
        <v>0.73702465074054468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2"/>
  <sheetViews>
    <sheetView workbookViewId="0"/>
  </sheetViews>
  <sheetFormatPr defaultRowHeight="14.5" x14ac:dyDescent="0.35"/>
  <sheetData>
    <row r="1" spans="1:12" x14ac:dyDescent="0.35">
      <c r="A1" s="1"/>
      <c r="B1" s="1" t="s">
        <v>69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</row>
    <row r="2" spans="1:12" x14ac:dyDescent="0.35">
      <c r="A2" s="1" t="s">
        <v>45</v>
      </c>
      <c r="C2">
        <f>'DCF Original'!C8</f>
        <v>86.640111017357782</v>
      </c>
      <c r="D2">
        <f>'DCF Original'!D8</f>
        <v>90.972116568225687</v>
      </c>
      <c r="E2">
        <f>'DCF Original'!E8</f>
        <v>95.520722396636984</v>
      </c>
      <c r="F2">
        <f>'DCF Original'!F8</f>
        <v>100.29675851646884</v>
      </c>
      <c r="G2">
        <f>'DCF Original'!G8</f>
        <v>105.31159644229228</v>
      </c>
      <c r="H2">
        <f>'DCF Original'!H8</f>
        <v>109.25848766985877</v>
      </c>
      <c r="I2">
        <f>'DCF Original'!I8</f>
        <v>112.805011339823</v>
      </c>
      <c r="J2">
        <f>'DCF Original'!J8</f>
        <v>115.90053734559763</v>
      </c>
      <c r="K2">
        <f>'DCF Original'!K8</f>
        <v>118.49932459311282</v>
      </c>
      <c r="L2">
        <f>'DCF Original'!L8</f>
        <v>120.56162311326656</v>
      </c>
    </row>
    <row r="3" spans="1:12" x14ac:dyDescent="0.35">
      <c r="A3" s="1" t="s">
        <v>70</v>
      </c>
      <c r="C3">
        <f>'DCF Original'!B15</f>
        <v>313.43700000000001</v>
      </c>
      <c r="D3">
        <f>'DCF Original'!C15</f>
        <v>329.71160625000005</v>
      </c>
      <c r="E3">
        <f>'DCF Original'!D15</f>
        <v>346.79994281250009</v>
      </c>
      <c r="F3">
        <f>'DCF Original'!E15</f>
        <v>364.74269620312509</v>
      </c>
      <c r="G3">
        <f>'DCF Original'!F15</f>
        <v>383.58258726328137</v>
      </c>
      <c r="H3">
        <f>'DCF Original'!G15</f>
        <v>401.38628431512899</v>
      </c>
      <c r="I3">
        <f>'DCF Original'!H15</f>
        <v>417.92394068773416</v>
      </c>
      <c r="J3">
        <f>'DCF Original'!I15</f>
        <v>432.97320798680482</v>
      </c>
      <c r="K3">
        <f>'DCF Original'!J15</f>
        <v>446.32405797640899</v>
      </c>
      <c r="L3">
        <f>'DCF Original'!K15</f>
        <v>457.78353755081918</v>
      </c>
    </row>
    <row r="4" spans="1:12" x14ac:dyDescent="0.35">
      <c r="A4" s="1" t="s">
        <v>49</v>
      </c>
      <c r="C4">
        <f>'DCF Original'!C12</f>
        <v>0.09</v>
      </c>
      <c r="D4">
        <f>'DCF Original'!D12</f>
        <v>0.09</v>
      </c>
      <c r="E4">
        <f>'DCF Original'!E12</f>
        <v>0.09</v>
      </c>
      <c r="F4">
        <f>'DCF Original'!F12</f>
        <v>0.09</v>
      </c>
      <c r="G4">
        <f>'DCF Original'!G12</f>
        <v>0.09</v>
      </c>
      <c r="H4">
        <f>'DCF Original'!H12</f>
        <v>8.7999999999999995E-2</v>
      </c>
      <c r="I4">
        <f>'DCF Original'!I12</f>
        <v>8.5999999999999993E-2</v>
      </c>
      <c r="J4">
        <f>'DCF Original'!J12</f>
        <v>8.3999999999999991E-2</v>
      </c>
      <c r="K4">
        <f>'DCF Original'!K12</f>
        <v>8.199999999999999E-2</v>
      </c>
      <c r="L4">
        <f>'DCF Original'!L12</f>
        <v>7.9999999999999988E-2</v>
      </c>
    </row>
    <row r="5" spans="1:12" x14ac:dyDescent="0.35">
      <c r="A5" s="1" t="s">
        <v>71</v>
      </c>
      <c r="C5">
        <f t="shared" ref="C5:L5" si="0">C4*C3</f>
        <v>28.209330000000001</v>
      </c>
      <c r="D5">
        <f t="shared" si="0"/>
        <v>29.674044562500004</v>
      </c>
      <c r="E5">
        <f t="shared" si="0"/>
        <v>31.211994853125006</v>
      </c>
      <c r="F5">
        <f t="shared" si="0"/>
        <v>32.826842658281258</v>
      </c>
      <c r="G5">
        <f t="shared" si="0"/>
        <v>34.522432853695321</v>
      </c>
      <c r="H5">
        <f t="shared" si="0"/>
        <v>35.321993019731352</v>
      </c>
      <c r="I5">
        <f t="shared" si="0"/>
        <v>35.941458899145132</v>
      </c>
      <c r="J5">
        <f t="shared" si="0"/>
        <v>36.369749470891598</v>
      </c>
      <c r="K5">
        <f t="shared" si="0"/>
        <v>36.598572754065536</v>
      </c>
      <c r="L5">
        <f t="shared" si="0"/>
        <v>36.622683004065529</v>
      </c>
    </row>
    <row r="6" spans="1:12" x14ac:dyDescent="0.35">
      <c r="A6" s="1" t="s">
        <v>72</v>
      </c>
      <c r="C6">
        <f t="shared" ref="C6:L6" si="1">C2-C5</f>
        <v>58.430781017357781</v>
      </c>
      <c r="D6">
        <f t="shared" si="1"/>
        <v>61.298072005725686</v>
      </c>
      <c r="E6">
        <f t="shared" si="1"/>
        <v>64.308727543511978</v>
      </c>
      <c r="F6">
        <f t="shared" si="1"/>
        <v>67.469915858187591</v>
      </c>
      <c r="G6">
        <f t="shared" si="1"/>
        <v>70.789163588596963</v>
      </c>
      <c r="H6">
        <f t="shared" si="1"/>
        <v>73.936494650127415</v>
      </c>
      <c r="I6">
        <f t="shared" si="1"/>
        <v>76.863552440677864</v>
      </c>
      <c r="J6">
        <f t="shared" si="1"/>
        <v>79.530787874706022</v>
      </c>
      <c r="K6">
        <f t="shared" si="1"/>
        <v>81.900751839047274</v>
      </c>
      <c r="L6">
        <f t="shared" si="1"/>
        <v>83.938940109201042</v>
      </c>
    </row>
    <row r="7" spans="1:12" x14ac:dyDescent="0.35">
      <c r="A7" s="1" t="s">
        <v>50</v>
      </c>
      <c r="C7">
        <f>'DCF Original'!C13</f>
        <v>0.9174311926605504</v>
      </c>
      <c r="D7">
        <f>'DCF Original'!D13</f>
        <v>0.84167999326655996</v>
      </c>
      <c r="E7">
        <f>'DCF Original'!E13</f>
        <v>0.77218348006106408</v>
      </c>
      <c r="F7">
        <f>'DCF Original'!F13</f>
        <v>0.7084252110651964</v>
      </c>
      <c r="G7">
        <f>'DCF Original'!G13</f>
        <v>0.64993138629834524</v>
      </c>
      <c r="H7">
        <f>'DCF Original'!H13</f>
        <v>0.59736340652421438</v>
      </c>
      <c r="I7">
        <f>'DCF Original'!I13</f>
        <v>0.55005838538141283</v>
      </c>
      <c r="J7">
        <f>'DCF Original'!J13</f>
        <v>0.50743393485370181</v>
      </c>
      <c r="K7">
        <f>'DCF Original'!K13</f>
        <v>0.46897775864482605</v>
      </c>
      <c r="L7">
        <f>'DCF Original'!L13</f>
        <v>0.43423866541187595</v>
      </c>
    </row>
    <row r="8" spans="1:12" x14ac:dyDescent="0.35">
      <c r="A8" s="1" t="s">
        <v>73</v>
      </c>
      <c r="C8">
        <f t="shared" ref="C8:L8" si="2">C6*C7</f>
        <v>53.606221116841994</v>
      </c>
      <c r="D8">
        <f t="shared" si="2"/>
        <v>51.5933608330323</v>
      </c>
      <c r="E8">
        <f t="shared" si="2"/>
        <v>49.658137032847883</v>
      </c>
      <c r="F8">
        <f t="shared" si="2"/>
        <v>47.797389382387585</v>
      </c>
      <c r="G8">
        <f t="shared" si="2"/>
        <v>46.008099226037167</v>
      </c>
      <c r="H8">
        <f t="shared" si="2"/>
        <v>44.166956310659465</v>
      </c>
      <c r="I8">
        <f t="shared" si="2"/>
        <v>42.279441550198818</v>
      </c>
      <c r="J8">
        <f t="shared" si="2"/>
        <v>40.356620633277153</v>
      </c>
      <c r="K8">
        <f t="shared" si="2"/>
        <v>38.409631028802508</v>
      </c>
      <c r="L8">
        <f t="shared" si="2"/>
        <v>36.449533329106842</v>
      </c>
    </row>
    <row r="9" spans="1:12" x14ac:dyDescent="0.35">
      <c r="A9" s="1" t="s">
        <v>74</v>
      </c>
      <c r="B9">
        <f>'DCF Original'!B15</f>
        <v>313.43700000000001</v>
      </c>
    </row>
    <row r="10" spans="1:12" x14ac:dyDescent="0.35">
      <c r="A10" s="1" t="s">
        <v>75</v>
      </c>
      <c r="B10">
        <f>SUM(C8:L8)</f>
        <v>450.32539044319174</v>
      </c>
    </row>
    <row r="11" spans="1:12" x14ac:dyDescent="0.35">
      <c r="A11" s="1" t="s">
        <v>76</v>
      </c>
      <c r="B11">
        <f>'DCF Original'!M8</f>
        <v>123.57566369109821</v>
      </c>
    </row>
    <row r="12" spans="1:12" x14ac:dyDescent="0.35">
      <c r="A12" s="1" t="s">
        <v>77</v>
      </c>
      <c r="B12">
        <f>'DCF Original'!M12</f>
        <v>0.08</v>
      </c>
    </row>
    <row r="13" spans="1:12" x14ac:dyDescent="0.35">
      <c r="A13" s="1" t="s">
        <v>78</v>
      </c>
      <c r="B13">
        <f>'DCF Original'!M3</f>
        <v>2.5000000000000001E-2</v>
      </c>
    </row>
    <row r="14" spans="1:12" x14ac:dyDescent="0.35">
      <c r="A14" s="1" t="s">
        <v>54</v>
      </c>
      <c r="B14">
        <f>'DCF Original'!B17</f>
        <v>7.9999999999999988E-2</v>
      </c>
    </row>
    <row r="15" spans="1:12" x14ac:dyDescent="0.35">
      <c r="A15" s="1" t="s">
        <v>79</v>
      </c>
      <c r="B15">
        <f>'DCF Original'!L15</f>
        <v>469.5295041145896</v>
      </c>
    </row>
    <row r="16" spans="1:12" x14ac:dyDescent="0.35">
      <c r="A16" s="1" t="s">
        <v>80</v>
      </c>
      <c r="B16">
        <f>B11-B12*B15</f>
        <v>86.013303361931037</v>
      </c>
    </row>
    <row r="17" spans="1:2" x14ac:dyDescent="0.35">
      <c r="A17" s="1" t="s">
        <v>81</v>
      </c>
      <c r="B17">
        <f>B11*(B13/B14)*(B14-B12)/(B12*(B12-B13))</f>
        <v>-1.2180091185475161E-13</v>
      </c>
    </row>
    <row r="18" spans="1:2" x14ac:dyDescent="0.35">
      <c r="A18" s="1" t="s">
        <v>82</v>
      </c>
      <c r="B18">
        <f>B16/B12+B17</f>
        <v>1075.1662920241376</v>
      </c>
    </row>
    <row r="19" spans="1:2" x14ac:dyDescent="0.35">
      <c r="A19" s="1" t="s">
        <v>83</v>
      </c>
      <c r="B19">
        <f>B18*L7</f>
        <v>466.87877574439682</v>
      </c>
    </row>
    <row r="20" spans="1:2" x14ac:dyDescent="0.35">
      <c r="A20" s="1" t="s">
        <v>84</v>
      </c>
      <c r="B20">
        <f>B9+B10+B19</f>
        <v>1230.6411661875886</v>
      </c>
    </row>
    <row r="21" spans="1:2" x14ac:dyDescent="0.35">
      <c r="A21" s="1" t="s">
        <v>85</v>
      </c>
      <c r="B21">
        <f>'DCF Original'!B21</f>
        <v>1230.6411661875886</v>
      </c>
    </row>
    <row r="22" spans="1:2" x14ac:dyDescent="0.35">
      <c r="A22" s="1" t="s">
        <v>86</v>
      </c>
      <c r="B22">
        <f>B20-B21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2"/>
  <sheetViews>
    <sheetView workbookViewId="0"/>
  </sheetViews>
  <sheetFormatPr defaultRowHeight="14.5" x14ac:dyDescent="0.35"/>
  <sheetData>
    <row r="1" spans="1:12" x14ac:dyDescent="0.35">
      <c r="A1" s="1"/>
      <c r="B1" s="1" t="s">
        <v>69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</row>
    <row r="2" spans="1:12" x14ac:dyDescent="0.35">
      <c r="A2" s="1" t="s">
        <v>45</v>
      </c>
      <c r="C2">
        <f>'DCF Bear'!C8</f>
        <v>78.962235841312335</v>
      </c>
      <c r="D2">
        <f>'DCF Bear'!D8</f>
        <v>82.120725274964826</v>
      </c>
      <c r="E2">
        <f>'DCF Bear'!E8</f>
        <v>85.405554285963433</v>
      </c>
      <c r="F2">
        <f>'DCF Bear'!F8</f>
        <v>88.821776457401953</v>
      </c>
      <c r="G2">
        <f>'DCF Bear'!G8</f>
        <v>92.374647515698044</v>
      </c>
      <c r="H2">
        <f>'DCF Bear'!H8</f>
        <v>95.324840179885683</v>
      </c>
      <c r="I2">
        <f>'DCF Bear'!I8</f>
        <v>97.987930990580452</v>
      </c>
      <c r="J2">
        <f>'DCF Bear'!J8</f>
        <v>100.33344446915339</v>
      </c>
      <c r="K2">
        <f>'DCF Bear'!K8</f>
        <v>102.33374298110985</v>
      </c>
      <c r="L2">
        <f>'DCF Bear'!L8</f>
        <v>103.96455960232277</v>
      </c>
    </row>
    <row r="3" spans="1:12" x14ac:dyDescent="0.35">
      <c r="A3" s="1" t="s">
        <v>70</v>
      </c>
      <c r="C3">
        <f>'DCF Bear'!B15</f>
        <v>313.43700000000001</v>
      </c>
      <c r="D3">
        <f>'DCF Bear'!C15</f>
        <v>326.03700475380003</v>
      </c>
      <c r="E3">
        <f>'DCF Bear'!D15</f>
        <v>339.14100969775205</v>
      </c>
      <c r="F3">
        <f>'DCF Bear'!E15</f>
        <v>352.76917483946215</v>
      </c>
      <c r="G3">
        <f>'DCF Bear'!F15</f>
        <v>366.94246658684068</v>
      </c>
      <c r="H3">
        <f>'DCF Bear'!G15</f>
        <v>380.20866766238697</v>
      </c>
      <c r="I3">
        <f>'DCF Bear'!H15</f>
        <v>392.42536483062338</v>
      </c>
      <c r="J3">
        <f>'DCF Bear'!I15</f>
        <v>403.45704237354084</v>
      </c>
      <c r="K3">
        <f>'DCF Bear'!J15</f>
        <v>413.17752624278586</v>
      </c>
      <c r="L3">
        <f>'DCF Bear'!K15</f>
        <v>421.47233914454159</v>
      </c>
    </row>
    <row r="4" spans="1:12" x14ac:dyDescent="0.35">
      <c r="A4" s="1" t="s">
        <v>49</v>
      </c>
      <c r="C4">
        <f>'DCF Bear'!C12</f>
        <v>7.7021000000000006E-2</v>
      </c>
      <c r="D4">
        <f>'DCF Bear'!D12</f>
        <v>7.7021000000000006E-2</v>
      </c>
      <c r="E4">
        <f>'DCF Bear'!E12</f>
        <v>7.7021000000000006E-2</v>
      </c>
      <c r="F4">
        <f>'DCF Bear'!F12</f>
        <v>7.7021000000000006E-2</v>
      </c>
      <c r="G4">
        <f>'DCF Bear'!G12</f>
        <v>7.7021000000000006E-2</v>
      </c>
      <c r="H4">
        <f>'DCF Bear'!H12</f>
        <v>7.8259400000000007E-2</v>
      </c>
      <c r="I4">
        <f>'DCF Bear'!I12</f>
        <v>7.9497800000000007E-2</v>
      </c>
      <c r="J4">
        <f>'DCF Bear'!J12</f>
        <v>8.0736200000000008E-2</v>
      </c>
      <c r="K4">
        <f>'DCF Bear'!K12</f>
        <v>8.1974600000000009E-2</v>
      </c>
      <c r="L4">
        <f>'DCF Bear'!L12</f>
        <v>8.3213000000000009E-2</v>
      </c>
    </row>
    <row r="5" spans="1:12" x14ac:dyDescent="0.35">
      <c r="A5" s="1" t="s">
        <v>71</v>
      </c>
      <c r="C5">
        <f t="shared" ref="C5:L5" si="0">C4*C3</f>
        <v>24.141231177000002</v>
      </c>
      <c r="D5">
        <f t="shared" si="0"/>
        <v>25.111696143142435</v>
      </c>
      <c r="E5">
        <f t="shared" si="0"/>
        <v>26.120979707930562</v>
      </c>
      <c r="F5">
        <f t="shared" si="0"/>
        <v>27.170634615310217</v>
      </c>
      <c r="G5">
        <f t="shared" si="0"/>
        <v>28.262275718985059</v>
      </c>
      <c r="H5">
        <f t="shared" si="0"/>
        <v>29.75490220605781</v>
      </c>
      <c r="I5">
        <f t="shared" si="0"/>
        <v>31.196953168231936</v>
      </c>
      <c r="J5">
        <f t="shared" si="0"/>
        <v>32.573588464478668</v>
      </c>
      <c r="K5">
        <f t="shared" si="0"/>
        <v>33.870062442741876</v>
      </c>
      <c r="L5">
        <f t="shared" si="0"/>
        <v>35.071977757234741</v>
      </c>
    </row>
    <row r="6" spans="1:12" x14ac:dyDescent="0.35">
      <c r="A6" s="1" t="s">
        <v>72</v>
      </c>
      <c r="C6">
        <f t="shared" ref="C6:L6" si="1">C2-C5</f>
        <v>54.821004664312333</v>
      </c>
      <c r="D6">
        <f t="shared" si="1"/>
        <v>57.009029131822388</v>
      </c>
      <c r="E6">
        <f t="shared" si="1"/>
        <v>59.284574578032874</v>
      </c>
      <c r="F6">
        <f t="shared" si="1"/>
        <v>61.651141842091732</v>
      </c>
      <c r="G6">
        <f t="shared" si="1"/>
        <v>64.112371796712978</v>
      </c>
      <c r="H6">
        <f t="shared" si="1"/>
        <v>65.569937973827876</v>
      </c>
      <c r="I6">
        <f t="shared" si="1"/>
        <v>66.790977822348509</v>
      </c>
      <c r="J6">
        <f t="shared" si="1"/>
        <v>67.759856004674731</v>
      </c>
      <c r="K6">
        <f t="shared" si="1"/>
        <v>68.463680538367981</v>
      </c>
      <c r="L6">
        <f t="shared" si="1"/>
        <v>68.892581845088017</v>
      </c>
    </row>
    <row r="7" spans="1:12" x14ac:dyDescent="0.35">
      <c r="A7" s="1" t="s">
        <v>50</v>
      </c>
      <c r="C7">
        <f>'DCF Bear'!C13</f>
        <v>0.92848700257469441</v>
      </c>
      <c r="D7">
        <f>'DCF Bear'!D13</f>
        <v>0.86208811395014062</v>
      </c>
      <c r="E7">
        <f>'DCF Bear'!E13</f>
        <v>0.80043760887683768</v>
      </c>
      <c r="F7">
        <f>'DCF Bear'!F13</f>
        <v>0.74319591621411063</v>
      </c>
      <c r="G7">
        <f>'DCF Bear'!G13</f>
        <v>0.69004774857139328</v>
      </c>
      <c r="H7">
        <f>'DCF Bear'!H13</f>
        <v>0.63996450999768073</v>
      </c>
      <c r="I7">
        <f>'DCF Bear'!I13</f>
        <v>0.59283539994030632</v>
      </c>
      <c r="J7">
        <f>'DCF Bear'!J13</f>
        <v>0.5485477399020281</v>
      </c>
      <c r="K7">
        <f>'DCF Bear'!K13</f>
        <v>0.50698763159692295</v>
      </c>
      <c r="L7">
        <f>'DCF Bear'!L13</f>
        <v>0.46804057151910378</v>
      </c>
    </row>
    <row r="8" spans="1:12" x14ac:dyDescent="0.35">
      <c r="A8" s="1" t="s">
        <v>73</v>
      </c>
      <c r="C8">
        <f t="shared" ref="C8:L8" si="2">C6*C7</f>
        <v>50.900590298900703</v>
      </c>
      <c r="D8">
        <f t="shared" si="2"/>
        <v>49.146806402381387</v>
      </c>
      <c r="E8">
        <f t="shared" si="2"/>
        <v>47.453603118521194</v>
      </c>
      <c r="F8">
        <f t="shared" si="2"/>
        <v>45.818876846979457</v>
      </c>
      <c r="G8">
        <f t="shared" si="2"/>
        <v>44.240597813893885</v>
      </c>
      <c r="H8">
        <f t="shared" si="2"/>
        <v>41.962433225999078</v>
      </c>
      <c r="I8">
        <f t="shared" si="2"/>
        <v>39.596056049716111</v>
      </c>
      <c r="J8">
        <f t="shared" si="2"/>
        <v>37.169515867451189</v>
      </c>
      <c r="K8">
        <f t="shared" si="2"/>
        <v>34.710239246555531</v>
      </c>
      <c r="L8">
        <f t="shared" si="2"/>
        <v>32.244523380201628</v>
      </c>
    </row>
    <row r="9" spans="1:12" x14ac:dyDescent="0.35">
      <c r="A9" s="1" t="s">
        <v>74</v>
      </c>
      <c r="B9">
        <f>'DCF Bear'!B15</f>
        <v>313.43700000000001</v>
      </c>
    </row>
    <row r="10" spans="1:12" x14ac:dyDescent="0.35">
      <c r="A10" s="1" t="s">
        <v>75</v>
      </c>
      <c r="B10">
        <f>SUM(C8:L8)</f>
        <v>423.24324225060025</v>
      </c>
    </row>
    <row r="11" spans="1:12" x14ac:dyDescent="0.35">
      <c r="A11" s="1" t="s">
        <v>76</v>
      </c>
      <c r="B11">
        <f>'DCF Bear'!M8</f>
        <v>106.04385079436923</v>
      </c>
    </row>
    <row r="12" spans="1:12" x14ac:dyDescent="0.35">
      <c r="A12" s="1" t="s">
        <v>77</v>
      </c>
      <c r="B12">
        <f>'DCF Bear'!M12</f>
        <v>8.3212999999999995E-2</v>
      </c>
    </row>
    <row r="13" spans="1:12" x14ac:dyDescent="0.35">
      <c r="A13" s="1" t="s">
        <v>78</v>
      </c>
      <c r="B13">
        <f>'DCF Bear'!M3</f>
        <v>0.02</v>
      </c>
    </row>
    <row r="14" spans="1:12" x14ac:dyDescent="0.35">
      <c r="A14" s="1" t="s">
        <v>54</v>
      </c>
      <c r="B14">
        <f>'DCF Bear'!B17</f>
        <v>8.3213000000000009E-2</v>
      </c>
    </row>
    <row r="15" spans="1:12" x14ac:dyDescent="0.35">
      <c r="A15" s="1" t="s">
        <v>79</v>
      </c>
      <c r="B15">
        <f>'DCF Bear'!L15</f>
        <v>429.93304830433243</v>
      </c>
    </row>
    <row r="16" spans="1:12" x14ac:dyDescent="0.35">
      <c r="A16" s="1" t="s">
        <v>80</v>
      </c>
      <c r="B16">
        <f>B11-B12*B15</f>
        <v>70.267832045820825</v>
      </c>
    </row>
    <row r="17" spans="1:2" x14ac:dyDescent="0.35">
      <c r="A17" s="1" t="s">
        <v>81</v>
      </c>
      <c r="B17">
        <f>B11*(B13/B14)*(B14-B12)/(B12*(B12-B13))</f>
        <v>6.72429824555034E-14</v>
      </c>
    </row>
    <row r="18" spans="1:2" x14ac:dyDescent="0.35">
      <c r="A18" s="1" t="s">
        <v>82</v>
      </c>
      <c r="B18">
        <f>B16/B12+B17</f>
        <v>844.43334630190998</v>
      </c>
    </row>
    <row r="19" spans="1:2" x14ac:dyDescent="0.35">
      <c r="A19" s="1" t="s">
        <v>83</v>
      </c>
      <c r="B19">
        <f>B18*L7</f>
        <v>395.22906601293522</v>
      </c>
    </row>
    <row r="20" spans="1:2" x14ac:dyDescent="0.35">
      <c r="A20" s="1" t="s">
        <v>84</v>
      </c>
      <c r="B20">
        <f>B9+B10+B19</f>
        <v>1131.9093082635354</v>
      </c>
    </row>
    <row r="21" spans="1:2" x14ac:dyDescent="0.35">
      <c r="A21" s="1" t="s">
        <v>85</v>
      </c>
      <c r="B21">
        <f>'DCF Bear'!B21</f>
        <v>1131.9093082635354</v>
      </c>
    </row>
    <row r="22" spans="1:2" x14ac:dyDescent="0.35">
      <c r="A22" s="1" t="s">
        <v>86</v>
      </c>
      <c r="B22">
        <f>B20-B21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2"/>
  <sheetViews>
    <sheetView workbookViewId="0"/>
  </sheetViews>
  <sheetFormatPr defaultRowHeight="14.5" x14ac:dyDescent="0.35"/>
  <sheetData>
    <row r="1" spans="1:12" x14ac:dyDescent="0.35">
      <c r="A1" s="1"/>
      <c r="B1" s="1" t="s">
        <v>69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</row>
    <row r="2" spans="1:12" x14ac:dyDescent="0.35">
      <c r="A2" s="1" t="s">
        <v>45</v>
      </c>
      <c r="C2">
        <f>'DCF Base'!C8</f>
        <v>83.750479174853979</v>
      </c>
      <c r="D2">
        <f>'DCF Base'!D8</f>
        <v>91.022702373599898</v>
      </c>
      <c r="E2">
        <f>'DCF Base'!E8</f>
        <v>97.675077573590883</v>
      </c>
      <c r="F2">
        <f>'DCF Base'!F8</f>
        <v>104.79805606903582</v>
      </c>
      <c r="G2">
        <f>'DCF Base'!G8</f>
        <v>112.42416170466922</v>
      </c>
      <c r="H2">
        <f>'DCF Base'!H8</f>
        <v>117.76766750995166</v>
      </c>
      <c r="I2">
        <f>'DCF Base'!I8</f>
        <v>122.54171661115144</v>
      </c>
      <c r="J2">
        <f>'DCF Base'!J8</f>
        <v>126.65249267416226</v>
      </c>
      <c r="K2">
        <f>'DCF Base'!K8</f>
        <v>130.015634326597</v>
      </c>
      <c r="L2">
        <f>'DCF Base'!L8</f>
        <v>132.55904361879504</v>
      </c>
    </row>
    <row r="3" spans="1:12" x14ac:dyDescent="0.35">
      <c r="A3" s="1" t="s">
        <v>70</v>
      </c>
      <c r="C3">
        <f>'DCF Base'!B15</f>
        <v>313.43700000000001</v>
      </c>
      <c r="D3">
        <f>'DCF Base'!C15</f>
        <v>332.71199265825004</v>
      </c>
      <c r="E3">
        <f>'DCF Base'!D15</f>
        <v>353.14348487599506</v>
      </c>
      <c r="F3">
        <f>'DCF Base'!E15</f>
        <v>374.8008666268048</v>
      </c>
      <c r="G3">
        <f>'DCF Base'!F15</f>
        <v>397.75769128266313</v>
      </c>
      <c r="H3">
        <f>'DCF Base'!G15</f>
        <v>419.25293143543178</v>
      </c>
      <c r="I3">
        <f>'DCF Base'!H15</f>
        <v>438.89795865278666</v>
      </c>
      <c r="J3">
        <f>'DCF Base'!I15</f>
        <v>456.31968126810779</v>
      </c>
      <c r="K3">
        <f>'DCF Base'!J15</f>
        <v>471.17192315308728</v>
      </c>
      <c r="L3">
        <f>'DCF Base'!K15</f>
        <v>483.14654317285192</v>
      </c>
    </row>
    <row r="4" spans="1:12" x14ac:dyDescent="0.35">
      <c r="A4" s="1" t="s">
        <v>49</v>
      </c>
      <c r="C4">
        <f>'DCF Base'!C12</f>
        <v>7.4013999999999996E-2</v>
      </c>
      <c r="D4">
        <f>'DCF Base'!D12</f>
        <v>7.4013999999999996E-2</v>
      </c>
      <c r="E4">
        <f>'DCF Base'!E12</f>
        <v>7.4013999999999996E-2</v>
      </c>
      <c r="F4">
        <f>'DCF Base'!F12</f>
        <v>7.4013999999999996E-2</v>
      </c>
      <c r="G4">
        <f>'DCF Base'!G12</f>
        <v>7.4013999999999996E-2</v>
      </c>
      <c r="H4">
        <f>'DCF Base'!H12</f>
        <v>7.4013999999999996E-2</v>
      </c>
      <c r="I4">
        <f>'DCF Base'!I12</f>
        <v>7.4013999999999996E-2</v>
      </c>
      <c r="J4">
        <f>'DCF Base'!J12</f>
        <v>7.4013999999999996E-2</v>
      </c>
      <c r="K4">
        <f>'DCF Base'!K12</f>
        <v>7.4013999999999996E-2</v>
      </c>
      <c r="L4">
        <f>'DCF Base'!L12</f>
        <v>7.4013999999999996E-2</v>
      </c>
    </row>
    <row r="5" spans="1:12" x14ac:dyDescent="0.35">
      <c r="A5" s="1" t="s">
        <v>71</v>
      </c>
      <c r="C5">
        <f t="shared" ref="C5:L5" si="0">C4*C3</f>
        <v>23.198726118</v>
      </c>
      <c r="D5">
        <f t="shared" si="0"/>
        <v>24.625345424607719</v>
      </c>
      <c r="E5">
        <f t="shared" si="0"/>
        <v>26.137561889611899</v>
      </c>
      <c r="F5">
        <f t="shared" si="0"/>
        <v>27.740511342516328</v>
      </c>
      <c r="G5">
        <f t="shared" si="0"/>
        <v>29.439637762595027</v>
      </c>
      <c r="H5">
        <f t="shared" si="0"/>
        <v>31.030586467262047</v>
      </c>
      <c r="I5">
        <f t="shared" si="0"/>
        <v>32.484593511727347</v>
      </c>
      <c r="J5">
        <f t="shared" si="0"/>
        <v>33.774044889377727</v>
      </c>
      <c r="K5">
        <f t="shared" si="0"/>
        <v>34.873318720252598</v>
      </c>
      <c r="L5">
        <f t="shared" si="0"/>
        <v>35.759608246395459</v>
      </c>
    </row>
    <row r="6" spans="1:12" x14ac:dyDescent="0.35">
      <c r="A6" s="1" t="s">
        <v>72</v>
      </c>
      <c r="C6">
        <f t="shared" ref="C6:L6" si="1">C2-C5</f>
        <v>60.551753056853983</v>
      </c>
      <c r="D6">
        <f t="shared" si="1"/>
        <v>66.397356948992183</v>
      </c>
      <c r="E6">
        <f t="shared" si="1"/>
        <v>71.537515683978981</v>
      </c>
      <c r="F6">
        <f t="shared" si="1"/>
        <v>77.057544726519495</v>
      </c>
      <c r="G6">
        <f t="shared" si="1"/>
        <v>82.98452394207419</v>
      </c>
      <c r="H6">
        <f t="shared" si="1"/>
        <v>86.737081042689624</v>
      </c>
      <c r="I6">
        <f t="shared" si="1"/>
        <v>90.057123099424103</v>
      </c>
      <c r="J6">
        <f t="shared" si="1"/>
        <v>92.878447784784527</v>
      </c>
      <c r="K6">
        <f t="shared" si="1"/>
        <v>95.142315606344397</v>
      </c>
      <c r="L6">
        <f t="shared" si="1"/>
        <v>96.799435372399586</v>
      </c>
    </row>
    <row r="7" spans="1:12" x14ac:dyDescent="0.35">
      <c r="A7" s="1" t="s">
        <v>50</v>
      </c>
      <c r="C7">
        <f>'DCF Base'!C13</f>
        <v>0.93108655939308049</v>
      </c>
      <c r="D7">
        <f>'DCF Base'!D13</f>
        <v>0.86692218108244445</v>
      </c>
      <c r="E7">
        <f>'DCF Base'!E13</f>
        <v>0.80717959084559832</v>
      </c>
      <c r="F7">
        <f>'DCF Base'!F13</f>
        <v>0.75155406805274261</v>
      </c>
      <c r="G7">
        <f>'DCF Base'!G13</f>
        <v>0.69976189142110123</v>
      </c>
      <c r="H7">
        <f>'DCF Base'!H13</f>
        <v>0.65153889187766756</v>
      </c>
      <c r="I7">
        <f>'DCF Base'!I13</f>
        <v>0.60663910514915775</v>
      </c>
      <c r="J7">
        <f>'DCF Base'!J13</f>
        <v>0.56483351720662645</v>
      </c>
      <c r="K7">
        <f>'DCF Base'!K13</f>
        <v>0.52590889616581016</v>
      </c>
      <c r="L7">
        <f>'DCF Base'!L13</f>
        <v>0.48966670468523699</v>
      </c>
    </row>
    <row r="8" spans="1:12" x14ac:dyDescent="0.35">
      <c r="A8" s="1" t="s">
        <v>73</v>
      </c>
      <c r="C8">
        <f t="shared" ref="C8:L8" si="2">C6*C7</f>
        <v>56.378923418925616</v>
      </c>
      <c r="D8">
        <f t="shared" si="2"/>
        <v>57.561341504329903</v>
      </c>
      <c r="E8">
        <f t="shared" si="2"/>
        <v>57.743622639904729</v>
      </c>
      <c r="F8">
        <f t="shared" si="2"/>
        <v>57.912911213371892</v>
      </c>
      <c r="G8">
        <f t="shared" si="2"/>
        <v>58.069407432385496</v>
      </c>
      <c r="H8">
        <f t="shared" si="2"/>
        <v>56.512581667257443</v>
      </c>
      <c r="I8">
        <f t="shared" si="2"/>
        <v>54.632172569342181</v>
      </c>
      <c r="J8">
        <f t="shared" si="2"/>
        <v>52.460860334971848</v>
      </c>
      <c r="K8">
        <f t="shared" si="2"/>
        <v>50.036190179191713</v>
      </c>
      <c r="L8">
        <f t="shared" si="2"/>
        <v>47.399460534194468</v>
      </c>
    </row>
    <row r="9" spans="1:12" x14ac:dyDescent="0.35">
      <c r="A9" s="1" t="s">
        <v>74</v>
      </c>
      <c r="B9">
        <f>'DCF Base'!B15</f>
        <v>313.43700000000001</v>
      </c>
    </row>
    <row r="10" spans="1:12" x14ac:dyDescent="0.35">
      <c r="A10" s="1" t="s">
        <v>75</v>
      </c>
      <c r="B10">
        <f>SUM(C8:L8)</f>
        <v>548.70747149387523</v>
      </c>
    </row>
    <row r="11" spans="1:12" x14ac:dyDescent="0.35">
      <c r="A11" s="1" t="s">
        <v>76</v>
      </c>
      <c r="B11">
        <f>'DCF Base'!M8</f>
        <v>135.8730197092649</v>
      </c>
    </row>
    <row r="12" spans="1:12" x14ac:dyDescent="0.35">
      <c r="A12" s="1" t="s">
        <v>77</v>
      </c>
      <c r="B12">
        <f>'DCF Base'!M12</f>
        <v>7.4013999999999996E-2</v>
      </c>
    </row>
    <row r="13" spans="1:12" x14ac:dyDescent="0.35">
      <c r="A13" s="1" t="s">
        <v>78</v>
      </c>
      <c r="B13">
        <f>'DCF Base'!M3</f>
        <v>2.5000000000000001E-2</v>
      </c>
    </row>
    <row r="14" spans="1:12" x14ac:dyDescent="0.35">
      <c r="A14" s="1" t="s">
        <v>54</v>
      </c>
      <c r="B14">
        <f>'DCF Base'!B17</f>
        <v>0.15</v>
      </c>
    </row>
    <row r="15" spans="1:12" x14ac:dyDescent="0.35">
      <c r="A15" s="1" t="s">
        <v>79</v>
      </c>
      <c r="B15">
        <f>'DCF Base'!L15</f>
        <v>495.42052869311067</v>
      </c>
    </row>
    <row r="16" spans="1:12" x14ac:dyDescent="0.35">
      <c r="A16" s="1" t="s">
        <v>80</v>
      </c>
      <c r="B16">
        <f>B11-B12*B15</f>
        <v>99.204964698573008</v>
      </c>
    </row>
    <row r="17" spans="1:2" x14ac:dyDescent="0.35">
      <c r="A17" s="1" t="s">
        <v>81</v>
      </c>
      <c r="B17">
        <f>B11*(B13/B14)*(B14-B12)/(B12*(B12-B13))</f>
        <v>474.33103188056265</v>
      </c>
    </row>
    <row r="18" spans="1:2" x14ac:dyDescent="0.35">
      <c r="A18" s="1" t="s">
        <v>82</v>
      </c>
      <c r="B18">
        <f>B16/B12+B17</f>
        <v>1814.6850824463072</v>
      </c>
    </row>
    <row r="19" spans="1:2" x14ac:dyDescent="0.35">
      <c r="A19" s="1" t="s">
        <v>83</v>
      </c>
      <c r="B19">
        <f>B18*L7</f>
        <v>888.59086436294081</v>
      </c>
    </row>
    <row r="20" spans="1:2" x14ac:dyDescent="0.35">
      <c r="A20" s="1" t="s">
        <v>84</v>
      </c>
      <c r="B20">
        <f>B9+B10+B19</f>
        <v>1750.7353358568162</v>
      </c>
    </row>
    <row r="21" spans="1:2" x14ac:dyDescent="0.35">
      <c r="A21" s="1" t="s">
        <v>85</v>
      </c>
      <c r="B21">
        <f>'DCF Base'!B21</f>
        <v>1750.7353358568162</v>
      </c>
    </row>
    <row r="22" spans="1:2" x14ac:dyDescent="0.35">
      <c r="A22" s="1" t="s">
        <v>86</v>
      </c>
      <c r="B22">
        <f>B20-B21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2"/>
  <sheetViews>
    <sheetView workbookViewId="0"/>
  </sheetViews>
  <sheetFormatPr defaultRowHeight="14.5" x14ac:dyDescent="0.35"/>
  <sheetData>
    <row r="1" spans="1:12" x14ac:dyDescent="0.35">
      <c r="A1" s="1"/>
      <c r="B1" s="1" t="s">
        <v>69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</row>
    <row r="2" spans="1:12" x14ac:dyDescent="0.35">
      <c r="A2" s="1" t="s">
        <v>45</v>
      </c>
      <c r="C2">
        <f>'DCF Bull'!C8</f>
        <v>88.69933223919314</v>
      </c>
      <c r="D2">
        <f>'DCF Bull'!D8</f>
        <v>100.39766418889931</v>
      </c>
      <c r="E2">
        <f>'DCF Bull'!E8</f>
        <v>110.36231828285729</v>
      </c>
      <c r="F2">
        <f>'DCF Bull'!F8</f>
        <v>121.23007539544376</v>
      </c>
      <c r="G2">
        <f>'DCF Bull'!G8</f>
        <v>133.07854314420638</v>
      </c>
      <c r="H2">
        <f>'DCF Bull'!H8</f>
        <v>140.41761015579783</v>
      </c>
      <c r="I2">
        <f>'DCF Bull'!I8</f>
        <v>147.03912109704072</v>
      </c>
      <c r="J2">
        <f>'DCF Bull'!J8</f>
        <v>152.79767282000455</v>
      </c>
      <c r="K2">
        <f>'DCF Bull'!K8</f>
        <v>157.56053712145973</v>
      </c>
      <c r="L2">
        <f>'DCF Bull'!L8</f>
        <v>161.21260255142735</v>
      </c>
    </row>
    <row r="3" spans="1:12" x14ac:dyDescent="0.35">
      <c r="A3" s="1" t="s">
        <v>70</v>
      </c>
      <c r="C3">
        <f>'DCF Bull'!B15</f>
        <v>313.43700000000001</v>
      </c>
      <c r="D3">
        <f>'DCF Bull'!C15</f>
        <v>336.36199624957504</v>
      </c>
      <c r="E3">
        <f>'DCF Bull'!D15</f>
        <v>360.8917422366203</v>
      </c>
      <c r="F3">
        <f>'DCF Bull'!E15</f>
        <v>387.13857044275875</v>
      </c>
      <c r="G3">
        <f>'DCF Bull'!F15</f>
        <v>415.22267662332689</v>
      </c>
      <c r="H3">
        <f>'DCF Bull'!G15</f>
        <v>441.83838525216817</v>
      </c>
      <c r="I3">
        <f>'DCF Bull'!H15</f>
        <v>466.45705716260028</v>
      </c>
      <c r="J3">
        <f>'DCF Bull'!I15</f>
        <v>488.56097732751493</v>
      </c>
      <c r="K3">
        <f>'DCF Bull'!J15</f>
        <v>507.66068643001557</v>
      </c>
      <c r="L3">
        <f>'DCF Bull'!K15</f>
        <v>523.31239541559103</v>
      </c>
    </row>
    <row r="4" spans="1:12" x14ac:dyDescent="0.35">
      <c r="A4" s="1" t="s">
        <v>49</v>
      </c>
      <c r="C4">
        <f>'DCF Bull'!C12</f>
        <v>6.5809999999999994E-2</v>
      </c>
      <c r="D4">
        <f>'DCF Bull'!D12</f>
        <v>6.5809999999999994E-2</v>
      </c>
      <c r="E4">
        <f>'DCF Bull'!E12</f>
        <v>6.5809999999999994E-2</v>
      </c>
      <c r="F4">
        <f>'DCF Bull'!F12</f>
        <v>6.5809999999999994E-2</v>
      </c>
      <c r="G4">
        <f>'DCF Bull'!G12</f>
        <v>6.5809999999999994E-2</v>
      </c>
      <c r="H4">
        <f>'DCF Bull'!H12</f>
        <v>6.5809999999999994E-2</v>
      </c>
      <c r="I4">
        <f>'DCF Bull'!I12</f>
        <v>6.5809999999999994E-2</v>
      </c>
      <c r="J4">
        <f>'DCF Bull'!J12</f>
        <v>6.5809999999999994E-2</v>
      </c>
      <c r="K4">
        <f>'DCF Bull'!K12</f>
        <v>6.5809999999999994E-2</v>
      </c>
      <c r="L4">
        <f>'DCF Bull'!L12</f>
        <v>6.5809999999999994E-2</v>
      </c>
    </row>
    <row r="5" spans="1:12" x14ac:dyDescent="0.35">
      <c r="A5" s="1" t="s">
        <v>71</v>
      </c>
      <c r="C5">
        <f t="shared" ref="C5:L5" si="0">C4*C3</f>
        <v>20.627288969999999</v>
      </c>
      <c r="D5">
        <f t="shared" si="0"/>
        <v>22.135982973184532</v>
      </c>
      <c r="E5">
        <f t="shared" si="0"/>
        <v>23.750285556591979</v>
      </c>
      <c r="F5">
        <f t="shared" si="0"/>
        <v>25.47758932083795</v>
      </c>
      <c r="G5">
        <f t="shared" si="0"/>
        <v>27.325804348581141</v>
      </c>
      <c r="H5">
        <f t="shared" si="0"/>
        <v>29.077384133445186</v>
      </c>
      <c r="I5">
        <f t="shared" si="0"/>
        <v>30.697538931870721</v>
      </c>
      <c r="J5">
        <f t="shared" si="0"/>
        <v>32.152197917923758</v>
      </c>
      <c r="K5">
        <f t="shared" si="0"/>
        <v>33.409149773959321</v>
      </c>
      <c r="L5">
        <f t="shared" si="0"/>
        <v>34.43918874230004</v>
      </c>
    </row>
    <row r="6" spans="1:12" x14ac:dyDescent="0.35">
      <c r="A6" s="1" t="s">
        <v>72</v>
      </c>
      <c r="C6">
        <f t="shared" ref="C6:L6" si="1">C2-C5</f>
        <v>68.072043269193145</v>
      </c>
      <c r="D6">
        <f t="shared" si="1"/>
        <v>78.261681215714788</v>
      </c>
      <c r="E6">
        <f t="shared" si="1"/>
        <v>86.612032726265312</v>
      </c>
      <c r="F6">
        <f t="shared" si="1"/>
        <v>95.752486074605812</v>
      </c>
      <c r="G6">
        <f t="shared" si="1"/>
        <v>105.75273879562523</v>
      </c>
      <c r="H6">
        <f t="shared" si="1"/>
        <v>111.34022602235265</v>
      </c>
      <c r="I6">
        <f t="shared" si="1"/>
        <v>116.34158216517</v>
      </c>
      <c r="J6">
        <f t="shared" si="1"/>
        <v>120.64547490208079</v>
      </c>
      <c r="K6">
        <f t="shared" si="1"/>
        <v>124.15138734750042</v>
      </c>
      <c r="L6">
        <f t="shared" si="1"/>
        <v>126.77341380912731</v>
      </c>
    </row>
    <row r="7" spans="1:12" x14ac:dyDescent="0.35">
      <c r="A7" s="1" t="s">
        <v>50</v>
      </c>
      <c r="C7">
        <f>'DCF Bull'!C13</f>
        <v>0.9382535348701927</v>
      </c>
      <c r="D7">
        <f>'DCF Bull'!D13</f>
        <v>0.88031969569641189</v>
      </c>
      <c r="E7">
        <f>'DCF Bull'!E13</f>
        <v>0.82596306630301086</v>
      </c>
      <c r="F7">
        <f>'DCF Bull'!F13</f>
        <v>0.77496276663102326</v>
      </c>
      <c r="G7">
        <f>'DCF Bull'!G13</f>
        <v>0.72711155518434178</v>
      </c>
      <c r="H7">
        <f>'DCF Bull'!H13</f>
        <v>0.68221498689667182</v>
      </c>
      <c r="I7">
        <f>'DCF Bull'!I13</f>
        <v>0.64009062299722452</v>
      </c>
      <c r="J7">
        <f>'DCF Bull'!J13</f>
        <v>0.60056728966440975</v>
      </c>
      <c r="K7">
        <f>'DCF Bull'!K13</f>
        <v>0.5634843824550434</v>
      </c>
      <c r="L7">
        <f>'DCF Bull'!L13</f>
        <v>0.52869121368259209</v>
      </c>
    </row>
    <row r="8" spans="1:12" x14ac:dyDescent="0.35">
      <c r="A8" s="1" t="s">
        <v>73</v>
      </c>
      <c r="C8">
        <f t="shared" ref="C8:L8" si="2">C6*C7</f>
        <v>63.868835223157177</v>
      </c>
      <c r="D8">
        <f t="shared" si="2"/>
        <v>68.895299392507638</v>
      </c>
      <c r="E8">
        <f t="shared" si="2"/>
        <v>71.538340129322819</v>
      </c>
      <c r="F8">
        <f t="shared" si="2"/>
        <v>74.20461152017505</v>
      </c>
      <c r="G8">
        <f t="shared" si="2"/>
        <v>76.894038370690538</v>
      </c>
      <c r="H8">
        <f t="shared" si="2"/>
        <v>75.957970836911798</v>
      </c>
      <c r="I8">
        <f t="shared" si="2"/>
        <v>74.46915580858645</v>
      </c>
      <c r="J8">
        <f t="shared" si="2"/>
        <v>72.455725872218238</v>
      </c>
      <c r="K8">
        <f t="shared" si="2"/>
        <v>69.957367830443161</v>
      </c>
      <c r="L8">
        <f t="shared" si="2"/>
        <v>67.023990009432993</v>
      </c>
    </row>
    <row r="9" spans="1:12" x14ac:dyDescent="0.35">
      <c r="A9" s="1" t="s">
        <v>74</v>
      </c>
      <c r="B9">
        <f>'DCF Bull'!B15</f>
        <v>313.43700000000001</v>
      </c>
    </row>
    <row r="10" spans="1:12" x14ac:dyDescent="0.35">
      <c r="A10" s="1" t="s">
        <v>75</v>
      </c>
      <c r="B10">
        <f>SUM(C8:L8)</f>
        <v>715.26533499344578</v>
      </c>
    </row>
    <row r="11" spans="1:12" x14ac:dyDescent="0.35">
      <c r="A11" s="1" t="s">
        <v>76</v>
      </c>
      <c r="B11">
        <f>'DCF Bull'!M8</f>
        <v>166.04898062797017</v>
      </c>
    </row>
    <row r="12" spans="1:12" x14ac:dyDescent="0.35">
      <c r="A12" s="1" t="s">
        <v>77</v>
      </c>
      <c r="B12">
        <f>'DCF Bull'!M12</f>
        <v>6.5809999999999994E-2</v>
      </c>
    </row>
    <row r="13" spans="1:12" x14ac:dyDescent="0.35">
      <c r="A13" s="1" t="s">
        <v>78</v>
      </c>
      <c r="B13">
        <f>'DCF Bull'!M3</f>
        <v>0.03</v>
      </c>
    </row>
    <row r="14" spans="1:12" x14ac:dyDescent="0.35">
      <c r="A14" s="1" t="s">
        <v>54</v>
      </c>
      <c r="B14">
        <f>'DCF Bull'!B17</f>
        <v>0.2</v>
      </c>
    </row>
    <row r="15" spans="1:12" x14ac:dyDescent="0.35">
      <c r="A15" s="1" t="s">
        <v>79</v>
      </c>
      <c r="B15">
        <f>'DCF Bull'!L15</f>
        <v>539.43365567073374</v>
      </c>
    </row>
    <row r="16" spans="1:12" x14ac:dyDescent="0.35">
      <c r="A16" s="1" t="s">
        <v>80</v>
      </c>
      <c r="B16">
        <f>B11-B12*B15</f>
        <v>130.54885174827919</v>
      </c>
    </row>
    <row r="17" spans="1:2" x14ac:dyDescent="0.35">
      <c r="A17" s="1" t="s">
        <v>81</v>
      </c>
      <c r="B17">
        <f>B11*(B13/B14)*(B14-B12)/(B12*(B12-B13))</f>
        <v>1418.2454990230008</v>
      </c>
    </row>
    <row r="18" spans="1:2" x14ac:dyDescent="0.35">
      <c r="A18" s="1" t="s">
        <v>82</v>
      </c>
      <c r="B18">
        <f>B16/B12+B17</f>
        <v>3401.9691238259061</v>
      </c>
    </row>
    <row r="19" spans="1:2" x14ac:dyDescent="0.35">
      <c r="A19" s="1" t="s">
        <v>83</v>
      </c>
      <c r="B19">
        <f>B18*L7</f>
        <v>1798.5911849862227</v>
      </c>
    </row>
    <row r="20" spans="1:2" x14ac:dyDescent="0.35">
      <c r="A20" s="1" t="s">
        <v>84</v>
      </c>
      <c r="B20">
        <f>B9+B10+B19</f>
        <v>2827.2935199796684</v>
      </c>
    </row>
    <row r="21" spans="1:2" x14ac:dyDescent="0.35">
      <c r="A21" s="1" t="s">
        <v>85</v>
      </c>
      <c r="B21">
        <f>'DCF Bull'!B21</f>
        <v>2827.2935199796684</v>
      </c>
    </row>
    <row r="22" spans="1:2" x14ac:dyDescent="0.35">
      <c r="A22" s="1" t="s">
        <v>86</v>
      </c>
      <c r="B22">
        <f>B20-B21</f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7"/>
  <sheetViews>
    <sheetView workbookViewId="0"/>
  </sheetViews>
  <sheetFormatPr defaultRowHeight="14.5" x14ac:dyDescent="0.35"/>
  <sheetData>
    <row r="1" spans="1:12" x14ac:dyDescent="0.35">
      <c r="A1" s="1"/>
      <c r="B1" s="1" t="s">
        <v>87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</row>
    <row r="2" spans="1:12" x14ac:dyDescent="0.35">
      <c r="A2" s="1" t="s">
        <v>39</v>
      </c>
      <c r="B2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</row>
    <row r="3" spans="1:12" x14ac:dyDescent="0.35">
      <c r="A3" s="1" t="s">
        <v>88</v>
      </c>
      <c r="B3">
        <v>5.82</v>
      </c>
      <c r="C3">
        <f>B3*(1+B9)</f>
        <v>6.0528000000000004</v>
      </c>
      <c r="D3">
        <f>C3*(1+B9)</f>
        <v>6.294912000000001</v>
      </c>
      <c r="E3">
        <f>D3*(1+B9)</f>
        <v>6.5467084800000013</v>
      </c>
      <c r="F3">
        <f>E3*(1+B9)</f>
        <v>6.8085768192000016</v>
      </c>
      <c r="G3">
        <f>F3*(1+B9)</f>
        <v>7.0809198919680023</v>
      </c>
      <c r="H3">
        <f>G3*(1+B9)</f>
        <v>7.364156687646723</v>
      </c>
      <c r="I3">
        <f>H3*(1+B9)</f>
        <v>7.6587229551525926</v>
      </c>
      <c r="J3">
        <f>I3*(1+B9)</f>
        <v>7.9650718733586965</v>
      </c>
      <c r="K3">
        <f>J3*(1+B9)</f>
        <v>8.2836747482930448</v>
      </c>
      <c r="L3">
        <f>K3*(1+B9)</f>
        <v>8.6150217382247671</v>
      </c>
    </row>
    <row r="4" spans="1:12" x14ac:dyDescent="0.35">
      <c r="A4" s="1" t="s">
        <v>89</v>
      </c>
      <c r="B4">
        <f>B5/B3</f>
        <v>0.64604810996563566</v>
      </c>
      <c r="C4">
        <f t="shared" ref="C4:L4" si="0">(B4)</f>
        <v>0.64604810996563566</v>
      </c>
      <c r="D4">
        <f t="shared" si="0"/>
        <v>0.64604810996563566</v>
      </c>
      <c r="E4">
        <f t="shared" si="0"/>
        <v>0.64604810996563566</v>
      </c>
      <c r="F4">
        <f t="shared" si="0"/>
        <v>0.64604810996563566</v>
      </c>
      <c r="G4">
        <f t="shared" si="0"/>
        <v>0.64604810996563566</v>
      </c>
      <c r="H4">
        <f t="shared" si="0"/>
        <v>0.64604810996563566</v>
      </c>
      <c r="I4">
        <f t="shared" si="0"/>
        <v>0.64604810996563566</v>
      </c>
      <c r="J4">
        <f t="shared" si="0"/>
        <v>0.64604810996563566</v>
      </c>
      <c r="K4">
        <f t="shared" si="0"/>
        <v>0.64604810996563566</v>
      </c>
      <c r="L4">
        <f t="shared" si="0"/>
        <v>0.64604810996563566</v>
      </c>
    </row>
    <row r="5" spans="1:12" x14ac:dyDescent="0.35">
      <c r="A5" s="1" t="s">
        <v>90</v>
      </c>
      <c r="B5">
        <v>3.76</v>
      </c>
      <c r="C5">
        <f t="shared" ref="C5:L5" si="1">C3*C4</f>
        <v>3.9103999999999997</v>
      </c>
      <c r="D5">
        <f t="shared" si="1"/>
        <v>4.0668160000000002</v>
      </c>
      <c r="E5">
        <f t="shared" si="1"/>
        <v>4.2294886400000005</v>
      </c>
      <c r="F5">
        <f t="shared" si="1"/>
        <v>4.3986681856000009</v>
      </c>
      <c r="G5">
        <f t="shared" si="1"/>
        <v>4.5746149130240008</v>
      </c>
      <c r="H5">
        <f t="shared" si="1"/>
        <v>4.7575995095449617</v>
      </c>
      <c r="I5">
        <f t="shared" si="1"/>
        <v>4.9479034899267607</v>
      </c>
      <c r="J5">
        <f t="shared" si="1"/>
        <v>5.1458196295238308</v>
      </c>
      <c r="K5">
        <f t="shared" si="1"/>
        <v>5.3516524147047839</v>
      </c>
      <c r="L5">
        <f t="shared" si="1"/>
        <v>5.5657185112929763</v>
      </c>
    </row>
    <row r="6" spans="1:12" x14ac:dyDescent="0.35">
      <c r="A6" s="1" t="s">
        <v>91</v>
      </c>
      <c r="C6">
        <f>1/(1+B8)^C2</f>
        <v>0.92762389152796965</v>
      </c>
      <c r="D6">
        <f>1/(1+B8)^D2</f>
        <v>0.86048608413349448</v>
      </c>
      <c r="E6">
        <f>1/(1+B8)^E2</f>
        <v>0.79820744996957604</v>
      </c>
      <c r="F6">
        <f>1/(1+B8)^F2</f>
        <v>0.74043630098739543</v>
      </c>
      <c r="G6">
        <f>1/(1+B8)^G2</f>
        <v>0.68684640295050281</v>
      </c>
      <c r="H6">
        <f>1/(1+B8)^H2</f>
        <v>0.63713513318693338</v>
      </c>
      <c r="I6">
        <f>1/(1+B8)^I2</f>
        <v>0.59102177167605441</v>
      </c>
      <c r="J6">
        <f>1/(1+B8)^J2</f>
        <v>0.54824591581989679</v>
      </c>
      <c r="K6">
        <f>1/(1+B8)^K2</f>
        <v>0.50856600994716838</v>
      </c>
      <c r="L6">
        <f>1/(1+B8)^L2</f>
        <v>0.47175798124604446</v>
      </c>
    </row>
    <row r="7" spans="1:12" x14ac:dyDescent="0.35">
      <c r="A7" s="1" t="s">
        <v>92</v>
      </c>
      <c r="C7">
        <f t="shared" ref="C7:L7" si="2">C5*C6</f>
        <v>3.627380465430972</v>
      </c>
      <c r="D7">
        <f t="shared" si="2"/>
        <v>3.4994385747314416</v>
      </c>
      <c r="E7">
        <f t="shared" si="2"/>
        <v>3.3760093420096906</v>
      </c>
      <c r="F7">
        <f t="shared" si="2"/>
        <v>3.2569336006166028</v>
      </c>
      <c r="G7">
        <f t="shared" si="2"/>
        <v>3.1420577978942621</v>
      </c>
      <c r="H7">
        <f t="shared" si="2"/>
        <v>3.0312337971640182</v>
      </c>
      <c r="I7">
        <f t="shared" si="2"/>
        <v>2.9243186866986468</v>
      </c>
      <c r="J7">
        <f t="shared" si="2"/>
        <v>2.8211745954322947</v>
      </c>
      <c r="K7">
        <f t="shared" si="2"/>
        <v>2.7216685151705406</v>
      </c>
      <c r="L7">
        <f t="shared" si="2"/>
        <v>2.6256721290713143</v>
      </c>
    </row>
    <row r="8" spans="1:12" x14ac:dyDescent="0.35">
      <c r="A8" s="1" t="s">
        <v>93</v>
      </c>
      <c r="B8">
        <v>7.8023118133377742E-2</v>
      </c>
    </row>
    <row r="9" spans="1:12" x14ac:dyDescent="0.35">
      <c r="A9" s="1" t="s">
        <v>94</v>
      </c>
      <c r="B9">
        <v>0.04</v>
      </c>
    </row>
    <row r="10" spans="1:12" x14ac:dyDescent="0.35">
      <c r="A10" s="1" t="s">
        <v>78</v>
      </c>
      <c r="B10">
        <v>0.02</v>
      </c>
    </row>
    <row r="11" spans="1:12" x14ac:dyDescent="0.35">
      <c r="A11" s="1" t="s">
        <v>95</v>
      </c>
      <c r="B11">
        <v>7.8023118133377742E-2</v>
      </c>
    </row>
    <row r="12" spans="1:12" x14ac:dyDescent="0.35">
      <c r="A12" s="1" t="s">
        <v>96</v>
      </c>
      <c r="B12">
        <f>1-B10/B11</f>
        <v>0.74366571756577693</v>
      </c>
    </row>
    <row r="13" spans="1:12" x14ac:dyDescent="0.35">
      <c r="A13" s="1" t="s">
        <v>97</v>
      </c>
      <c r="B13">
        <f>L3*(1+B10)*B12</f>
        <v>6.5348302492577224</v>
      </c>
    </row>
    <row r="14" spans="1:12" x14ac:dyDescent="0.35">
      <c r="A14" s="1" t="s">
        <v>98</v>
      </c>
      <c r="B14">
        <f>B13/(B8-B10)</f>
        <v>112.62459618657702</v>
      </c>
    </row>
    <row r="15" spans="1:12" x14ac:dyDescent="0.35">
      <c r="A15" s="1" t="s">
        <v>56</v>
      </c>
      <c r="B15">
        <f>B14*L6</f>
        <v>53.131552135630535</v>
      </c>
    </row>
    <row r="16" spans="1:12" x14ac:dyDescent="0.35">
      <c r="A16" s="1" t="s">
        <v>99</v>
      </c>
      <c r="B16">
        <f>SUM(C7:L7)</f>
        <v>31.025887504219785</v>
      </c>
    </row>
    <row r="17" spans="1:2" x14ac:dyDescent="0.35">
      <c r="A17" s="1" t="s">
        <v>67</v>
      </c>
      <c r="B17">
        <f>B16+B15</f>
        <v>84.157439639850324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7"/>
  <sheetViews>
    <sheetView workbookViewId="0"/>
  </sheetViews>
  <sheetFormatPr defaultRowHeight="14.5" x14ac:dyDescent="0.35"/>
  <sheetData>
    <row r="1" spans="1:12" x14ac:dyDescent="0.35">
      <c r="A1" s="1"/>
      <c r="B1" s="1" t="s">
        <v>87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</row>
    <row r="2" spans="1:12" x14ac:dyDescent="0.35">
      <c r="A2" s="1" t="s">
        <v>39</v>
      </c>
      <c r="B2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</row>
    <row r="3" spans="1:12" x14ac:dyDescent="0.35">
      <c r="A3" s="1" t="s">
        <v>88</v>
      </c>
      <c r="B3">
        <v>5.82</v>
      </c>
      <c r="C3">
        <f>B3*(1+B9)</f>
        <v>6.1692000000000009</v>
      </c>
      <c r="D3">
        <f>C3*(1+B9)</f>
        <v>6.5393520000000009</v>
      </c>
      <c r="E3">
        <f>D3*(1+B9)</f>
        <v>6.9317131200000013</v>
      </c>
      <c r="F3">
        <f>E3*(1+B9)</f>
        <v>7.3476159072000016</v>
      </c>
      <c r="G3">
        <f>F3*(1+B9)</f>
        <v>7.7884728616320018</v>
      </c>
      <c r="H3">
        <f>G3*(1+B9)</f>
        <v>8.2557812333299232</v>
      </c>
      <c r="I3">
        <f>H3*(1+B9)</f>
        <v>8.7511281073297198</v>
      </c>
      <c r="J3">
        <f>I3*(1+B9)</f>
        <v>9.276195793769503</v>
      </c>
      <c r="K3">
        <f>J3*(1+B9)</f>
        <v>9.8327675413956737</v>
      </c>
      <c r="L3">
        <f>K3*(1+B9)</f>
        <v>10.422733593879414</v>
      </c>
    </row>
    <row r="4" spans="1:12" x14ac:dyDescent="0.35">
      <c r="A4" s="1" t="s">
        <v>89</v>
      </c>
      <c r="B4">
        <f>B5/B3</f>
        <v>0.64604810996563566</v>
      </c>
      <c r="C4">
        <f t="shared" ref="C4:L4" si="0">(B4)</f>
        <v>0.64604810996563566</v>
      </c>
      <c r="D4">
        <f t="shared" si="0"/>
        <v>0.64604810996563566</v>
      </c>
      <c r="E4">
        <f t="shared" si="0"/>
        <v>0.64604810996563566</v>
      </c>
      <c r="F4">
        <f t="shared" si="0"/>
        <v>0.64604810996563566</v>
      </c>
      <c r="G4">
        <f t="shared" si="0"/>
        <v>0.64604810996563566</v>
      </c>
      <c r="H4">
        <f t="shared" si="0"/>
        <v>0.64604810996563566</v>
      </c>
      <c r="I4">
        <f t="shared" si="0"/>
        <v>0.64604810996563566</v>
      </c>
      <c r="J4">
        <f t="shared" si="0"/>
        <v>0.64604810996563566</v>
      </c>
      <c r="K4">
        <f t="shared" si="0"/>
        <v>0.64604810996563566</v>
      </c>
      <c r="L4">
        <f t="shared" si="0"/>
        <v>0.64604810996563566</v>
      </c>
    </row>
    <row r="5" spans="1:12" x14ac:dyDescent="0.35">
      <c r="A5" s="1" t="s">
        <v>90</v>
      </c>
      <c r="B5">
        <v>3.76</v>
      </c>
      <c r="C5">
        <f t="shared" ref="C5:L5" si="1">C3*C4</f>
        <v>3.9856000000000003</v>
      </c>
      <c r="D5">
        <f t="shared" si="1"/>
        <v>4.224736</v>
      </c>
      <c r="E5">
        <f t="shared" si="1"/>
        <v>4.4782201600000002</v>
      </c>
      <c r="F5">
        <f t="shared" si="1"/>
        <v>4.7469133696000005</v>
      </c>
      <c r="G5">
        <f t="shared" si="1"/>
        <v>5.0317281717760007</v>
      </c>
      <c r="H5">
        <f t="shared" si="1"/>
        <v>5.3336318620825613</v>
      </c>
      <c r="I5">
        <f t="shared" si="1"/>
        <v>5.6536497738075155</v>
      </c>
      <c r="J5">
        <f t="shared" si="1"/>
        <v>5.9928687602359672</v>
      </c>
      <c r="K5">
        <f t="shared" si="1"/>
        <v>6.3524408858501253</v>
      </c>
      <c r="L5">
        <f t="shared" si="1"/>
        <v>6.7335873390011329</v>
      </c>
    </row>
    <row r="6" spans="1:12" x14ac:dyDescent="0.35">
      <c r="A6" s="1" t="s">
        <v>91</v>
      </c>
      <c r="C6">
        <f>1/(1+B8)^C2</f>
        <v>0.93029616932432113</v>
      </c>
      <c r="D6">
        <f>1/(1+B8)^D2</f>
        <v>0.86545096265950616</v>
      </c>
      <c r="E6">
        <f>1/(1+B8)^E2</f>
        <v>0.80512571530018462</v>
      </c>
      <c r="F6">
        <f>1/(1+B8)^F2</f>
        <v>0.74900536876826596</v>
      </c>
      <c r="G6">
        <f>1/(1+B8)^G2</f>
        <v>0.69679682536846832</v>
      </c>
      <c r="H6">
        <f>1/(1+B8)^H2</f>
        <v>0.64822741743763412</v>
      </c>
      <c r="I6">
        <f>1/(1+B8)^I2</f>
        <v>0.60304348329322865</v>
      </c>
      <c r="J6">
        <f>1/(1+B8)^J2</f>
        <v>0.56100904244368599</v>
      </c>
      <c r="K6">
        <f>1/(1+B8)^K2</f>
        <v>0.52190456314166656</v>
      </c>
      <c r="L6">
        <f>1/(1+B8)^L2</f>
        <v>0.48552581584357585</v>
      </c>
    </row>
    <row r="7" spans="1:12" x14ac:dyDescent="0.35">
      <c r="A7" s="1" t="s">
        <v>92</v>
      </c>
      <c r="C7">
        <f t="shared" ref="C7:L7" si="2">C5*C6</f>
        <v>3.7077884124590144</v>
      </c>
      <c r="D7">
        <f t="shared" si="2"/>
        <v>3.6563018381822716</v>
      </c>
      <c r="E7">
        <f t="shared" si="2"/>
        <v>3.6055302095917074</v>
      </c>
      <c r="F7">
        <f t="shared" si="2"/>
        <v>3.5554635989082604</v>
      </c>
      <c r="G7">
        <f t="shared" si="2"/>
        <v>3.5060922162106043</v>
      </c>
      <c r="H7">
        <f t="shared" si="2"/>
        <v>3.4574064075208581</v>
      </c>
      <c r="I7">
        <f t="shared" si="2"/>
        <v>3.4093966529168585</v>
      </c>
      <c r="J7">
        <f t="shared" si="2"/>
        <v>3.3620535646706595</v>
      </c>
      <c r="K7">
        <f t="shared" si="2"/>
        <v>3.3153678854128708</v>
      </c>
      <c r="L7">
        <f t="shared" si="2"/>
        <v>3.2693304863224979</v>
      </c>
    </row>
    <row r="8" spans="1:12" x14ac:dyDescent="0.35">
      <c r="A8" s="1" t="s">
        <v>93</v>
      </c>
      <c r="B8">
        <v>7.492649435104648E-2</v>
      </c>
    </row>
    <row r="9" spans="1:12" x14ac:dyDescent="0.35">
      <c r="A9" s="1" t="s">
        <v>94</v>
      </c>
      <c r="B9">
        <v>0.06</v>
      </c>
    </row>
    <row r="10" spans="1:12" x14ac:dyDescent="0.35">
      <c r="A10" s="1" t="s">
        <v>78</v>
      </c>
      <c r="B10">
        <v>2.5000000000000001E-2</v>
      </c>
    </row>
    <row r="11" spans="1:12" x14ac:dyDescent="0.35">
      <c r="A11" s="1" t="s">
        <v>95</v>
      </c>
      <c r="B11">
        <v>0.15</v>
      </c>
    </row>
    <row r="12" spans="1:12" x14ac:dyDescent="0.35">
      <c r="A12" s="1" t="s">
        <v>96</v>
      </c>
      <c r="B12">
        <f>1-B10/B11</f>
        <v>0.83333333333333326</v>
      </c>
    </row>
    <row r="13" spans="1:12" x14ac:dyDescent="0.35">
      <c r="A13" s="1" t="s">
        <v>97</v>
      </c>
      <c r="B13">
        <f>L3*(1+B10)*B12</f>
        <v>8.9027516114386636</v>
      </c>
    </row>
    <row r="14" spans="1:12" x14ac:dyDescent="0.35">
      <c r="A14" s="1" t="s">
        <v>98</v>
      </c>
      <c r="B14">
        <f>B13/(B8-B10)</f>
        <v>178.31717862746473</v>
      </c>
    </row>
    <row r="15" spans="1:12" x14ac:dyDescent="0.35">
      <c r="A15" s="1" t="s">
        <v>56</v>
      </c>
      <c r="B15">
        <f>B14*L6</f>
        <v>86.57759363202446</v>
      </c>
    </row>
    <row r="16" spans="1:12" x14ac:dyDescent="0.35">
      <c r="A16" s="1" t="s">
        <v>99</v>
      </c>
      <c r="B16">
        <f>SUM(C7:L7)</f>
        <v>34.844731272195602</v>
      </c>
    </row>
    <row r="17" spans="1:2" x14ac:dyDescent="0.35">
      <c r="A17" s="1" t="s">
        <v>67</v>
      </c>
      <c r="B17">
        <f>B16+B15</f>
        <v>121.42232490422006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7"/>
  <sheetViews>
    <sheetView workbookViewId="0"/>
  </sheetViews>
  <sheetFormatPr defaultRowHeight="14.5" x14ac:dyDescent="0.35"/>
  <sheetData>
    <row r="1" spans="1:12" x14ac:dyDescent="0.35">
      <c r="A1" s="1"/>
      <c r="B1" s="1" t="s">
        <v>87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</row>
    <row r="2" spans="1:12" x14ac:dyDescent="0.35">
      <c r="A2" s="1" t="s">
        <v>39</v>
      </c>
      <c r="B2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</row>
    <row r="3" spans="1:12" x14ac:dyDescent="0.35">
      <c r="A3" s="1" t="s">
        <v>88</v>
      </c>
      <c r="B3">
        <v>5.82</v>
      </c>
      <c r="C3">
        <f>B3*(1+B9)</f>
        <v>6.2856000000000005</v>
      </c>
      <c r="D3">
        <f>C3*(1+B9)</f>
        <v>6.7884480000000007</v>
      </c>
      <c r="E3">
        <f>D3*(1+B9)</f>
        <v>7.3315238400000009</v>
      </c>
      <c r="F3">
        <f>E3*(1+B9)</f>
        <v>7.9180457472000016</v>
      </c>
      <c r="G3">
        <f>F3*(1+B9)</f>
        <v>8.5514894069760015</v>
      </c>
      <c r="H3">
        <f>G3*(1+B9)</f>
        <v>9.2356085595340822</v>
      </c>
      <c r="I3">
        <f>H3*(1+B9)</f>
        <v>9.9744572442968096</v>
      </c>
      <c r="J3">
        <f>I3*(1+B9)</f>
        <v>10.772413823840555</v>
      </c>
      <c r="K3">
        <f>J3*(1+B9)</f>
        <v>11.634206929747799</v>
      </c>
      <c r="L3">
        <f>K3*(1+B9)</f>
        <v>12.564943484127625</v>
      </c>
    </row>
    <row r="4" spans="1:12" x14ac:dyDescent="0.35">
      <c r="A4" s="1" t="s">
        <v>89</v>
      </c>
      <c r="B4">
        <f>B5/B3</f>
        <v>0.64604810996563566</v>
      </c>
      <c r="C4">
        <f t="shared" ref="C4:L4" si="0">(B4)</f>
        <v>0.64604810996563566</v>
      </c>
      <c r="D4">
        <f t="shared" si="0"/>
        <v>0.64604810996563566</v>
      </c>
      <c r="E4">
        <f t="shared" si="0"/>
        <v>0.64604810996563566</v>
      </c>
      <c r="F4">
        <f t="shared" si="0"/>
        <v>0.64604810996563566</v>
      </c>
      <c r="G4">
        <f t="shared" si="0"/>
        <v>0.64604810996563566</v>
      </c>
      <c r="H4">
        <f t="shared" si="0"/>
        <v>0.64604810996563566</v>
      </c>
      <c r="I4">
        <f t="shared" si="0"/>
        <v>0.64604810996563566</v>
      </c>
      <c r="J4">
        <f t="shared" si="0"/>
        <v>0.64604810996563566</v>
      </c>
      <c r="K4">
        <f t="shared" si="0"/>
        <v>0.64604810996563566</v>
      </c>
      <c r="L4">
        <f t="shared" si="0"/>
        <v>0.64604810996563566</v>
      </c>
    </row>
    <row r="5" spans="1:12" x14ac:dyDescent="0.35">
      <c r="A5" s="1" t="s">
        <v>90</v>
      </c>
      <c r="B5">
        <v>3.76</v>
      </c>
      <c r="C5">
        <f t="shared" ref="C5:L5" si="1">C3*C4</f>
        <v>4.0607999999999995</v>
      </c>
      <c r="D5">
        <f t="shared" si="1"/>
        <v>4.3856640000000002</v>
      </c>
      <c r="E5">
        <f t="shared" si="1"/>
        <v>4.7365171200000002</v>
      </c>
      <c r="F5">
        <f t="shared" si="1"/>
        <v>5.1154384896000007</v>
      </c>
      <c r="G5">
        <f t="shared" si="1"/>
        <v>5.5246735687680006</v>
      </c>
      <c r="H5">
        <f t="shared" si="1"/>
        <v>5.9666474542694408</v>
      </c>
      <c r="I5">
        <f t="shared" si="1"/>
        <v>6.4439792506109965</v>
      </c>
      <c r="J5">
        <f t="shared" si="1"/>
        <v>6.9594975906598764</v>
      </c>
      <c r="K5">
        <f t="shared" si="1"/>
        <v>7.5162573979126668</v>
      </c>
      <c r="L5">
        <f t="shared" si="1"/>
        <v>8.1175579897456807</v>
      </c>
    </row>
    <row r="6" spans="1:12" x14ac:dyDescent="0.35">
      <c r="A6" s="1" t="s">
        <v>91</v>
      </c>
      <c r="C6">
        <f>1/(1+B8)^C2</f>
        <v>0.93766521841889183</v>
      </c>
      <c r="D6">
        <f>1/(1+B8)^D2</f>
        <v>0.87921606183254819</v>
      </c>
      <c r="E6">
        <f>1/(1+B8)^E2</f>
        <v>0.82441032065561415</v>
      </c>
      <c r="F6">
        <f>1/(1+B8)^F2</f>
        <v>0.77302088338433517</v>
      </c>
      <c r="G6">
        <f>1/(1+B8)^G2</f>
        <v>0.72483479546093732</v>
      </c>
      <c r="H6">
        <f>1/(1+B8)^H2</f>
        <v>0.67965237680349255</v>
      </c>
      <c r="I6">
        <f>1/(1+B8)^I2</f>
        <v>0.63728639434436585</v>
      </c>
      <c r="J6">
        <f>1/(1+B8)^J2</f>
        <v>0.59756128614829784</v>
      </c>
      <c r="K6">
        <f>1/(1+B8)^K2</f>
        <v>0.56031243389491758</v>
      </c>
      <c r="L6">
        <f>1/(1+B8)^L2</f>
        <v>0.52538548071089886</v>
      </c>
    </row>
    <row r="7" spans="1:12" x14ac:dyDescent="0.35">
      <c r="A7" s="1" t="s">
        <v>92</v>
      </c>
      <c r="C7">
        <f t="shared" ref="C7:L7" si="2">C5*C6</f>
        <v>3.8076709189554356</v>
      </c>
      <c r="D7">
        <f t="shared" si="2"/>
        <v>3.855946230600781</v>
      </c>
      <c r="E7">
        <f t="shared" si="2"/>
        <v>3.9048335976900064</v>
      </c>
      <c r="F7">
        <f t="shared" si="2"/>
        <v>3.9543407801288217</v>
      </c>
      <c r="G7">
        <f t="shared" si="2"/>
        <v>4.0044756362064007</v>
      </c>
      <c r="H7">
        <f t="shared" si="2"/>
        <v>4.0552461238427338</v>
      </c>
      <c r="I7">
        <f t="shared" si="2"/>
        <v>4.1066603018517904</v>
      </c>
      <c r="J7">
        <f t="shared" si="2"/>
        <v>4.1587263312206959</v>
      </c>
      <c r="K7">
        <f t="shared" si="2"/>
        <v>4.2114524764051264</v>
      </c>
      <c r="L7">
        <f t="shared" si="2"/>
        <v>4.264847106641132</v>
      </c>
    </row>
    <row r="8" spans="1:12" x14ac:dyDescent="0.35">
      <c r="A8" s="1" t="s">
        <v>93</v>
      </c>
      <c r="B8">
        <v>6.6478717943935561E-2</v>
      </c>
    </row>
    <row r="9" spans="1:12" x14ac:dyDescent="0.35">
      <c r="A9" s="1" t="s">
        <v>94</v>
      </c>
      <c r="B9">
        <v>0.08</v>
      </c>
    </row>
    <row r="10" spans="1:12" x14ac:dyDescent="0.35">
      <c r="A10" s="1" t="s">
        <v>78</v>
      </c>
      <c r="B10">
        <v>0.03</v>
      </c>
    </row>
    <row r="11" spans="1:12" x14ac:dyDescent="0.35">
      <c r="A11" s="1" t="s">
        <v>95</v>
      </c>
      <c r="B11">
        <v>0.2</v>
      </c>
    </row>
    <row r="12" spans="1:12" x14ac:dyDescent="0.35">
      <c r="A12" s="1" t="s">
        <v>96</v>
      </c>
      <c r="B12">
        <f>1-B10/B11</f>
        <v>0.85</v>
      </c>
    </row>
    <row r="13" spans="1:12" x14ac:dyDescent="0.35">
      <c r="A13" s="1" t="s">
        <v>97</v>
      </c>
      <c r="B13">
        <f>L3*(1+B10)*B12</f>
        <v>11.000608020353734</v>
      </c>
    </row>
    <row r="14" spans="1:12" x14ac:dyDescent="0.35">
      <c r="A14" s="1" t="s">
        <v>98</v>
      </c>
      <c r="B14">
        <f>B13/(B8-B10)</f>
        <v>301.56235307558393</v>
      </c>
    </row>
    <row r="15" spans="1:12" x14ac:dyDescent="0.35">
      <c r="A15" s="1" t="s">
        <v>56</v>
      </c>
      <c r="B15">
        <f>B14*L6</f>
        <v>158.43648183492547</v>
      </c>
    </row>
    <row r="16" spans="1:12" x14ac:dyDescent="0.35">
      <c r="A16" s="1" t="s">
        <v>99</v>
      </c>
      <c r="B16">
        <f>SUM(C7:L7)</f>
        <v>40.324199503542921</v>
      </c>
    </row>
    <row r="17" spans="1:2" x14ac:dyDescent="0.35">
      <c r="A17" s="1" t="s">
        <v>67</v>
      </c>
      <c r="B17">
        <f>B16+B15</f>
        <v>198.7606813384684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39"/>
  <sheetViews>
    <sheetView workbookViewId="0"/>
  </sheetViews>
  <sheetFormatPr defaultRowHeight="14.5" x14ac:dyDescent="0.35"/>
  <sheetData>
    <row r="1" spans="1:7" x14ac:dyDescent="0.35">
      <c r="A1" s="1"/>
      <c r="B1" s="1" t="s">
        <v>100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</row>
    <row r="2" spans="1:7" x14ac:dyDescent="0.35">
      <c r="A2" s="1" t="s">
        <v>101</v>
      </c>
      <c r="B2">
        <v>66.1328125</v>
      </c>
    </row>
    <row r="3" spans="1:7" x14ac:dyDescent="0.35">
      <c r="A3" s="1" t="s">
        <v>102</v>
      </c>
      <c r="B3">
        <v>13.633262999999999</v>
      </c>
    </row>
    <row r="4" spans="1:7" x14ac:dyDescent="0.35">
      <c r="A4" s="1" t="s">
        <v>103</v>
      </c>
      <c r="B4">
        <f>B2*B3</f>
        <v>901.60602574218751</v>
      </c>
    </row>
    <row r="5" spans="1:7" x14ac:dyDescent="0.35">
      <c r="A5" s="1" t="s">
        <v>104</v>
      </c>
      <c r="B5">
        <v>86.995000000000005</v>
      </c>
    </row>
    <row r="6" spans="1:7" x14ac:dyDescent="0.35">
      <c r="A6" s="1" t="s">
        <v>105</v>
      </c>
      <c r="B6">
        <v>58.13</v>
      </c>
    </row>
    <row r="7" spans="1:7" x14ac:dyDescent="0.35">
      <c r="A7" s="1" t="s">
        <v>106</v>
      </c>
      <c r="B7">
        <v>30</v>
      </c>
    </row>
    <row r="8" spans="1:7" x14ac:dyDescent="0.35">
      <c r="A8" s="1" t="s">
        <v>107</v>
      </c>
      <c r="B8">
        <f>B4+B5-B6</f>
        <v>930.47102574218752</v>
      </c>
    </row>
    <row r="9" spans="1:7" x14ac:dyDescent="0.35">
      <c r="A9" s="1" t="s">
        <v>108</v>
      </c>
      <c r="B9">
        <v>111.98399999999999</v>
      </c>
    </row>
    <row r="10" spans="1:7" x14ac:dyDescent="0.35">
      <c r="A10" s="1" t="s">
        <v>109</v>
      </c>
      <c r="B10">
        <f>B8/B9</f>
        <v>8.3089640104138773</v>
      </c>
    </row>
    <row r="11" spans="1:7" x14ac:dyDescent="0.35">
      <c r="A11" s="1" t="s">
        <v>110</v>
      </c>
      <c r="B11">
        <v>4.5</v>
      </c>
    </row>
    <row r="12" spans="1:7" x14ac:dyDescent="0.35">
      <c r="A12" s="1" t="s">
        <v>111</v>
      </c>
      <c r="B12">
        <f>B11*B9</f>
        <v>503.928</v>
      </c>
    </row>
    <row r="13" spans="1:7" x14ac:dyDescent="0.35">
      <c r="A13" s="1" t="s">
        <v>112</v>
      </c>
      <c r="B13">
        <v>4.3400000000000001E-2</v>
      </c>
    </row>
    <row r="14" spans="1:7" x14ac:dyDescent="0.35">
      <c r="A14" s="1" t="s">
        <v>113</v>
      </c>
      <c r="B14">
        <v>3.5000000000000003E-2</v>
      </c>
    </row>
    <row r="15" spans="1:7" x14ac:dyDescent="0.35">
      <c r="A15" s="1" t="s">
        <v>114</v>
      </c>
      <c r="B15">
        <f>B13+B14</f>
        <v>7.8399999999999997E-2</v>
      </c>
    </row>
    <row r="16" spans="1:7" x14ac:dyDescent="0.35">
      <c r="A16" s="1" t="s">
        <v>115</v>
      </c>
      <c r="B16">
        <v>0.02</v>
      </c>
    </row>
    <row r="17" spans="1:7" x14ac:dyDescent="0.35">
      <c r="A17" s="1" t="s">
        <v>116</v>
      </c>
      <c r="B17">
        <v>2.5000000000000001E-2</v>
      </c>
    </row>
    <row r="18" spans="1:7" x14ac:dyDescent="0.35">
      <c r="A18" s="1" t="s">
        <v>117</v>
      </c>
      <c r="B18">
        <f>B4+B5+B8*B16+B12*B17</f>
        <v>1019.8086462570313</v>
      </c>
    </row>
    <row r="19" spans="1:7" x14ac:dyDescent="0.35">
      <c r="A19" s="1" t="s">
        <v>118</v>
      </c>
      <c r="B19">
        <f>B6-B7</f>
        <v>28.130000000000003</v>
      </c>
    </row>
    <row r="20" spans="1:7" x14ac:dyDescent="0.35">
      <c r="A20" s="1" t="s">
        <v>119</v>
      </c>
      <c r="B20">
        <f>B18-B12-B19</f>
        <v>487.75064625703135</v>
      </c>
    </row>
    <row r="21" spans="1:7" x14ac:dyDescent="0.35">
      <c r="A21" s="1" t="s">
        <v>41</v>
      </c>
      <c r="C21">
        <f>'DCF Base'!C4</f>
        <v>642.4997552750001</v>
      </c>
      <c r="D21">
        <f>'DCF Base'!D4</f>
        <v>681.04974059150015</v>
      </c>
      <c r="E21">
        <f>'DCF Base'!E4</f>
        <v>721.91272502699019</v>
      </c>
      <c r="F21">
        <f>'DCF Base'!F4</f>
        <v>765.22748852860968</v>
      </c>
      <c r="G21">
        <f>'DCF Base'!G4</f>
        <v>811.14113784032634</v>
      </c>
    </row>
    <row r="22" spans="1:7" x14ac:dyDescent="0.35">
      <c r="A22" s="1" t="s">
        <v>120</v>
      </c>
      <c r="C22">
        <f>'DCF Base'!C6+C21*(B39-B38)</f>
        <v>114.90633156957227</v>
      </c>
      <c r="D22">
        <f>'DCF Base'!D6+D21*(B39-B38)</f>
        <v>124.71914581212931</v>
      </c>
      <c r="E22">
        <f>'DCF Base'!E6+E21*(B39-B38)</f>
        <v>133.74906476549992</v>
      </c>
      <c r="F22">
        <f>'DCF Base'!F6+F21*(B39-B38)</f>
        <v>143.41358506835132</v>
      </c>
      <c r="G22">
        <f>'DCF Base'!G6+G21*(B39-B38)</f>
        <v>153.7563511743891</v>
      </c>
    </row>
    <row r="23" spans="1:7" x14ac:dyDescent="0.35">
      <c r="A23" s="1" t="s">
        <v>121</v>
      </c>
      <c r="C23">
        <f>'DCF Base'!C11</f>
        <v>64.475486516603951</v>
      </c>
      <c r="D23">
        <f>'DCF Base'!D11</f>
        <v>70.591210155854881</v>
      </c>
      <c r="E23">
        <f>'DCF Base'!E11</f>
        <v>76.017695822781135</v>
      </c>
      <c r="F23">
        <f>'DCF Base'!F11</f>
        <v>81.841231413177496</v>
      </c>
      <c r="G23">
        <f>'DCF Base'!G11</f>
        <v>90.928921551900572</v>
      </c>
    </row>
    <row r="24" spans="1:7" x14ac:dyDescent="0.35">
      <c r="A24" s="1" t="s">
        <v>122</v>
      </c>
      <c r="C24">
        <f>B15*B12</f>
        <v>39.507955199999998</v>
      </c>
      <c r="D24">
        <f>B15*C29</f>
        <v>36.838093296611845</v>
      </c>
      <c r="E24">
        <f>B15*D29</f>
        <v>33.527584436522687</v>
      </c>
      <c r="F24">
        <f>B15*E29</f>
        <v>29.59179030128065</v>
      </c>
      <c r="G24">
        <f>B15*F29</f>
        <v>24.961834955395247</v>
      </c>
    </row>
    <row r="25" spans="1:7" x14ac:dyDescent="0.35">
      <c r="A25" s="1" t="s">
        <v>44</v>
      </c>
      <c r="C25">
        <f>'DCF Base'!C7</f>
        <v>0.23</v>
      </c>
      <c r="D25">
        <f>'DCF Base'!D7</f>
        <v>0.23</v>
      </c>
      <c r="E25">
        <f>'DCF Base'!E7</f>
        <v>0.23</v>
      </c>
      <c r="F25">
        <f>'DCF Base'!F7</f>
        <v>0.23</v>
      </c>
      <c r="G25">
        <f>'DCF Base'!G7</f>
        <v>0.23</v>
      </c>
    </row>
    <row r="26" spans="1:7" x14ac:dyDescent="0.35">
      <c r="A26" s="1" t="s">
        <v>123</v>
      </c>
      <c r="C26">
        <f>C24*(1-C25)</f>
        <v>30.421125503999999</v>
      </c>
      <c r="D26">
        <f>D24*(1-D25)</f>
        <v>28.365331838391121</v>
      </c>
      <c r="E26">
        <f>E24*(1-E25)</f>
        <v>25.816240016122471</v>
      </c>
      <c r="F26">
        <f>F24*(1-F25)</f>
        <v>22.7856785319861</v>
      </c>
      <c r="G26">
        <f>G24*(1-G25)</f>
        <v>19.220612915654339</v>
      </c>
    </row>
    <row r="27" spans="1:7" x14ac:dyDescent="0.35">
      <c r="A27" s="1" t="s">
        <v>124</v>
      </c>
      <c r="C27">
        <f>C23-C26</f>
        <v>34.054361012603948</v>
      </c>
      <c r="D27">
        <f>D23-D26</f>
        <v>42.22587831746376</v>
      </c>
      <c r="E27">
        <f>E23-E26</f>
        <v>50.201455806658664</v>
      </c>
      <c r="F27">
        <f>F23-F26</f>
        <v>59.055552881191396</v>
      </c>
      <c r="G27">
        <f>G23-G26</f>
        <v>71.70830863624623</v>
      </c>
    </row>
    <row r="28" spans="1:7" x14ac:dyDescent="0.35">
      <c r="A28" s="1" t="s">
        <v>125</v>
      </c>
      <c r="C28">
        <f>IF(C27&gt;B12,B12,C27)</f>
        <v>34.054361012603948</v>
      </c>
      <c r="D28">
        <f>IF(D27&gt;C29,C29,D27)</f>
        <v>42.22587831746376</v>
      </c>
      <c r="E28">
        <f>IF(E27&gt;D29,D29,E27)</f>
        <v>50.201455806658664</v>
      </c>
      <c r="F28">
        <f>IF(F27&gt;E29,E29,F27)</f>
        <v>59.055552881191396</v>
      </c>
      <c r="G28">
        <f>IF(G27&gt;F29,F29,G27)</f>
        <v>71.70830863624623</v>
      </c>
    </row>
    <row r="29" spans="1:7" x14ac:dyDescent="0.35">
      <c r="A29" s="1" t="s">
        <v>126</v>
      </c>
      <c r="B29">
        <f>B12</f>
        <v>503.928</v>
      </c>
      <c r="C29">
        <f>B12-C28</f>
        <v>469.87363898739602</v>
      </c>
      <c r="D29">
        <f>C29-D28</f>
        <v>427.64776066993227</v>
      </c>
      <c r="E29">
        <f>D29-E28</f>
        <v>377.44630486327361</v>
      </c>
      <c r="F29">
        <f>E29-F28</f>
        <v>318.39075198208224</v>
      </c>
      <c r="G29">
        <f>F29-G28</f>
        <v>246.68244334583602</v>
      </c>
    </row>
    <row r="30" spans="1:7" x14ac:dyDescent="0.35">
      <c r="A30" s="1" t="s">
        <v>127</v>
      </c>
      <c r="B30">
        <f>B7</f>
        <v>30</v>
      </c>
      <c r="C30">
        <f>B7+C27-C28</f>
        <v>30</v>
      </c>
      <c r="D30">
        <f>C30+D27-D28</f>
        <v>29.999999999999993</v>
      </c>
      <c r="E30">
        <f>D30+E27-E28</f>
        <v>29.999999999999993</v>
      </c>
      <c r="F30">
        <f>E30+F27-F28</f>
        <v>29.999999999999993</v>
      </c>
      <c r="G30">
        <f>F30+G27-G28</f>
        <v>29.999999999999986</v>
      </c>
    </row>
    <row r="31" spans="1:7" x14ac:dyDescent="0.35">
      <c r="A31" s="1" t="s">
        <v>128</v>
      </c>
      <c r="B31">
        <v>11.090646475186521</v>
      </c>
    </row>
    <row r="32" spans="1:7" x14ac:dyDescent="0.35">
      <c r="A32" s="1" t="s">
        <v>129</v>
      </c>
      <c r="B32">
        <f>B31*G22</f>
        <v>1705.2573341897794</v>
      </c>
    </row>
    <row r="33" spans="1:2" x14ac:dyDescent="0.35">
      <c r="A33" s="1" t="s">
        <v>130</v>
      </c>
      <c r="B33">
        <f>B32-G29+G30</f>
        <v>1488.5748908439434</v>
      </c>
    </row>
    <row r="34" spans="1:2" x14ac:dyDescent="0.35">
      <c r="A34" s="1" t="s">
        <v>131</v>
      </c>
      <c r="B34">
        <f>B33/B20</f>
        <v>3.0519178237223796</v>
      </c>
    </row>
    <row r="35" spans="1:2" x14ac:dyDescent="0.35">
      <c r="A35" s="1" t="s">
        <v>132</v>
      </c>
      <c r="B35">
        <f>B34^(1/5)-1</f>
        <v>0.25001310784442965</v>
      </c>
    </row>
    <row r="36" spans="1:2" x14ac:dyDescent="0.35">
      <c r="A36" s="1" t="s">
        <v>133</v>
      </c>
      <c r="B36">
        <v>0.25</v>
      </c>
    </row>
    <row r="37" spans="1:2" x14ac:dyDescent="0.35">
      <c r="A37" s="1" t="s">
        <v>134</v>
      </c>
      <c r="B37">
        <f>IF(B35&gt;=B36,1,0)</f>
        <v>1</v>
      </c>
    </row>
    <row r="38" spans="1:2" x14ac:dyDescent="0.35">
      <c r="A38" s="1" t="s">
        <v>135</v>
      </c>
      <c r="B38">
        <v>3.656002430166319E-3</v>
      </c>
    </row>
    <row r="39" spans="1:2" x14ac:dyDescent="0.35">
      <c r="A39" s="1" t="s">
        <v>136</v>
      </c>
      <c r="B39">
        <v>1.3211609958305439E-2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39"/>
  <sheetViews>
    <sheetView workbookViewId="0"/>
  </sheetViews>
  <sheetFormatPr defaultRowHeight="14.5" x14ac:dyDescent="0.35"/>
  <sheetData>
    <row r="1" spans="1:7" x14ac:dyDescent="0.35">
      <c r="A1" s="1"/>
      <c r="B1" s="1" t="s">
        <v>100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</row>
    <row r="2" spans="1:7" x14ac:dyDescent="0.35">
      <c r="A2" s="1" t="s">
        <v>101</v>
      </c>
      <c r="B2">
        <v>76.15234375</v>
      </c>
    </row>
    <row r="3" spans="1:7" x14ac:dyDescent="0.35">
      <c r="A3" s="1" t="s">
        <v>102</v>
      </c>
      <c r="B3">
        <v>13.633262999999999</v>
      </c>
    </row>
    <row r="4" spans="1:7" x14ac:dyDescent="0.35">
      <c r="A4" s="1" t="s">
        <v>103</v>
      </c>
      <c r="B4">
        <f>B2*B3</f>
        <v>1038.2049304101563</v>
      </c>
    </row>
    <row r="5" spans="1:7" x14ac:dyDescent="0.35">
      <c r="A5" s="1" t="s">
        <v>104</v>
      </c>
      <c r="B5">
        <v>86.995000000000005</v>
      </c>
    </row>
    <row r="6" spans="1:7" x14ac:dyDescent="0.35">
      <c r="A6" s="1" t="s">
        <v>105</v>
      </c>
      <c r="B6">
        <v>58.13</v>
      </c>
    </row>
    <row r="7" spans="1:7" x14ac:dyDescent="0.35">
      <c r="A7" s="1" t="s">
        <v>106</v>
      </c>
      <c r="B7">
        <v>30</v>
      </c>
    </row>
    <row r="8" spans="1:7" x14ac:dyDescent="0.35">
      <c r="A8" s="1" t="s">
        <v>107</v>
      </c>
      <c r="B8">
        <f>B4+B5-B6</f>
        <v>1067.0699304101563</v>
      </c>
    </row>
    <row r="9" spans="1:7" x14ac:dyDescent="0.35">
      <c r="A9" s="1" t="s">
        <v>108</v>
      </c>
      <c r="B9">
        <v>111.98399999999999</v>
      </c>
    </row>
    <row r="10" spans="1:7" x14ac:dyDescent="0.35">
      <c r="A10" s="1" t="s">
        <v>109</v>
      </c>
      <c r="B10">
        <f>B8/B9</f>
        <v>9.528771345997253</v>
      </c>
    </row>
    <row r="11" spans="1:7" x14ac:dyDescent="0.35">
      <c r="A11" s="1" t="s">
        <v>110</v>
      </c>
      <c r="B11">
        <v>5</v>
      </c>
    </row>
    <row r="12" spans="1:7" x14ac:dyDescent="0.35">
      <c r="A12" s="1" t="s">
        <v>111</v>
      </c>
      <c r="B12">
        <f>B11*B9</f>
        <v>559.91999999999996</v>
      </c>
    </row>
    <row r="13" spans="1:7" x14ac:dyDescent="0.35">
      <c r="A13" s="1" t="s">
        <v>112</v>
      </c>
      <c r="B13">
        <v>4.3400000000000001E-2</v>
      </c>
    </row>
    <row r="14" spans="1:7" x14ac:dyDescent="0.35">
      <c r="A14" s="1" t="s">
        <v>113</v>
      </c>
      <c r="B14">
        <v>3.5000000000000003E-2</v>
      </c>
    </row>
    <row r="15" spans="1:7" x14ac:dyDescent="0.35">
      <c r="A15" s="1" t="s">
        <v>114</v>
      </c>
      <c r="B15">
        <f>B13+B14</f>
        <v>7.8399999999999997E-2</v>
      </c>
    </row>
    <row r="16" spans="1:7" x14ac:dyDescent="0.35">
      <c r="A16" s="1" t="s">
        <v>115</v>
      </c>
      <c r="B16">
        <v>0.02</v>
      </c>
    </row>
    <row r="17" spans="1:7" x14ac:dyDescent="0.35">
      <c r="A17" s="1" t="s">
        <v>116</v>
      </c>
      <c r="B17">
        <v>2.5000000000000001E-2</v>
      </c>
    </row>
    <row r="18" spans="1:7" x14ac:dyDescent="0.35">
      <c r="A18" s="1" t="s">
        <v>117</v>
      </c>
      <c r="B18">
        <f>B4+B5+B8*B16+B12*B17</f>
        <v>1160.5393290183597</v>
      </c>
    </row>
    <row r="19" spans="1:7" x14ac:dyDescent="0.35">
      <c r="A19" s="1" t="s">
        <v>118</v>
      </c>
      <c r="B19">
        <f>B6-B7</f>
        <v>28.130000000000003</v>
      </c>
    </row>
    <row r="20" spans="1:7" x14ac:dyDescent="0.35">
      <c r="A20" s="1" t="s">
        <v>119</v>
      </c>
      <c r="B20">
        <f>B18-B12-B19</f>
        <v>572.48932901835974</v>
      </c>
    </row>
    <row r="21" spans="1:7" x14ac:dyDescent="0.35">
      <c r="A21" s="1" t="s">
        <v>41</v>
      </c>
      <c r="C21">
        <f>'DCF Base'!C4</f>
        <v>642.4997552750001</v>
      </c>
      <c r="D21">
        <f>'DCF Base'!D4</f>
        <v>681.04974059150015</v>
      </c>
      <c r="E21">
        <f>'DCF Base'!E4</f>
        <v>721.91272502699019</v>
      </c>
      <c r="F21">
        <f>'DCF Base'!F4</f>
        <v>765.22748852860968</v>
      </c>
      <c r="G21">
        <f>'DCF Base'!G4</f>
        <v>811.14113784032634</v>
      </c>
    </row>
    <row r="22" spans="1:7" x14ac:dyDescent="0.35">
      <c r="A22" s="1" t="s">
        <v>120</v>
      </c>
      <c r="C22">
        <f>'DCF Base'!C6+C21*(B39-B38)</f>
        <v>114.90633156957227</v>
      </c>
      <c r="D22">
        <f>'DCF Base'!D6+D21*(B39-B38)</f>
        <v>124.71914581212931</v>
      </c>
      <c r="E22">
        <f>'DCF Base'!E6+E21*(B39-B38)</f>
        <v>133.74906476549992</v>
      </c>
      <c r="F22">
        <f>'DCF Base'!F6+F21*(B39-B38)</f>
        <v>143.41358506835132</v>
      </c>
      <c r="G22">
        <f>'DCF Base'!G6+G21*(B39-B38)</f>
        <v>153.7563511743891</v>
      </c>
    </row>
    <row r="23" spans="1:7" x14ac:dyDescent="0.35">
      <c r="A23" s="1" t="s">
        <v>121</v>
      </c>
      <c r="C23">
        <f>'DCF Base'!C11</f>
        <v>64.475486516603951</v>
      </c>
      <c r="D23">
        <f>'DCF Base'!D11</f>
        <v>70.591210155854881</v>
      </c>
      <c r="E23">
        <f>'DCF Base'!E11</f>
        <v>76.017695822781135</v>
      </c>
      <c r="F23">
        <f>'DCF Base'!F11</f>
        <v>81.841231413177496</v>
      </c>
      <c r="G23">
        <f>'DCF Base'!G11</f>
        <v>90.928921551900572</v>
      </c>
    </row>
    <row r="24" spans="1:7" x14ac:dyDescent="0.35">
      <c r="A24" s="1" t="s">
        <v>122</v>
      </c>
      <c r="C24">
        <f>B15*B12</f>
        <v>43.897727999999994</v>
      </c>
      <c r="D24">
        <f>B15*C29</f>
        <v>41.492867901002242</v>
      </c>
      <c r="E24">
        <f>B15*D29</f>
        <v>38.463358474230922</v>
      </c>
      <c r="F24">
        <f>B15*E29</f>
        <v>34.825527146097251</v>
      </c>
      <c r="G24">
        <f>B15*F29</f>
        <v>30.511522026059733</v>
      </c>
    </row>
    <row r="25" spans="1:7" x14ac:dyDescent="0.35">
      <c r="A25" s="1" t="s">
        <v>44</v>
      </c>
      <c r="C25">
        <f>'DCF Base'!C7</f>
        <v>0.23</v>
      </c>
      <c r="D25">
        <f>'DCF Base'!D7</f>
        <v>0.23</v>
      </c>
      <c r="E25">
        <f>'DCF Base'!E7</f>
        <v>0.23</v>
      </c>
      <c r="F25">
        <f>'DCF Base'!F7</f>
        <v>0.23</v>
      </c>
      <c r="G25">
        <f>'DCF Base'!G7</f>
        <v>0.23</v>
      </c>
    </row>
    <row r="26" spans="1:7" x14ac:dyDescent="0.35">
      <c r="A26" s="1" t="s">
        <v>123</v>
      </c>
      <c r="C26">
        <f>C24*(1-C25)</f>
        <v>33.801250559999993</v>
      </c>
      <c r="D26">
        <f>D24*(1-D25)</f>
        <v>31.949508283771728</v>
      </c>
      <c r="E26">
        <f>E24*(1-E25)</f>
        <v>29.616786025157811</v>
      </c>
      <c r="F26">
        <f>F24*(1-F25)</f>
        <v>26.815655902494886</v>
      </c>
      <c r="G26">
        <f>G24*(1-G25)</f>
        <v>23.493871960065995</v>
      </c>
    </row>
    <row r="27" spans="1:7" x14ac:dyDescent="0.35">
      <c r="A27" s="1" t="s">
        <v>124</v>
      </c>
      <c r="C27">
        <f>C23-C26</f>
        <v>30.674235956603958</v>
      </c>
      <c r="D27">
        <f>D23-D26</f>
        <v>38.641701872083154</v>
      </c>
      <c r="E27">
        <f>E23-E26</f>
        <v>46.400909797623328</v>
      </c>
      <c r="F27">
        <f>F23-F26</f>
        <v>55.025575510682614</v>
      </c>
      <c r="G27">
        <f>G23-G26</f>
        <v>67.43504959183457</v>
      </c>
    </row>
    <row r="28" spans="1:7" x14ac:dyDescent="0.35">
      <c r="A28" s="1" t="s">
        <v>125</v>
      </c>
      <c r="C28">
        <f>IF(C27&gt;B12,B12,C27)</f>
        <v>30.674235956603958</v>
      </c>
      <c r="D28">
        <f>IF(D27&gt;C29,C29,D27)</f>
        <v>38.641701872083154</v>
      </c>
      <c r="E28">
        <f>IF(E27&gt;D29,D29,E27)</f>
        <v>46.400909797623328</v>
      </c>
      <c r="F28">
        <f>IF(F27&gt;E29,E29,F27)</f>
        <v>55.025575510682614</v>
      </c>
      <c r="G28">
        <f>IF(G27&gt;F29,F29,G27)</f>
        <v>67.43504959183457</v>
      </c>
    </row>
    <row r="29" spans="1:7" x14ac:dyDescent="0.35">
      <c r="A29" s="1" t="s">
        <v>126</v>
      </c>
      <c r="B29">
        <f>B12</f>
        <v>559.91999999999996</v>
      </c>
      <c r="C29">
        <f>B12-C28</f>
        <v>529.24576404339598</v>
      </c>
      <c r="D29">
        <f>C29-D28</f>
        <v>490.60406217131282</v>
      </c>
      <c r="E29">
        <f>D29-E28</f>
        <v>444.20315237368948</v>
      </c>
      <c r="F29">
        <f>E29-F28</f>
        <v>389.17757686300683</v>
      </c>
      <c r="G29">
        <f>F29-G28</f>
        <v>321.74252727117226</v>
      </c>
    </row>
    <row r="30" spans="1:7" x14ac:dyDescent="0.35">
      <c r="A30" s="1" t="s">
        <v>127</v>
      </c>
      <c r="B30">
        <f>B7</f>
        <v>30</v>
      </c>
      <c r="C30">
        <f>B7+C27-C28</f>
        <v>30</v>
      </c>
      <c r="D30">
        <f>C30+D27-D28</f>
        <v>30.000000000000007</v>
      </c>
      <c r="E30">
        <f>D30+E27-E28</f>
        <v>30.000000000000014</v>
      </c>
      <c r="F30">
        <f>E30+F27-F28</f>
        <v>30.000000000000014</v>
      </c>
      <c r="G30">
        <f>F30+G27-G28</f>
        <v>30.000000000000014</v>
      </c>
    </row>
    <row r="31" spans="1:7" x14ac:dyDescent="0.35">
      <c r="A31" s="1" t="s">
        <v>128</v>
      </c>
      <c r="B31">
        <v>11.162988929834521</v>
      </c>
    </row>
    <row r="32" spans="1:7" x14ac:dyDescent="0.35">
      <c r="A32" s="1" t="s">
        <v>129</v>
      </c>
      <c r="B32">
        <f>B31*G22</f>
        <v>1716.3804460514546</v>
      </c>
    </row>
    <row r="33" spans="1:2" x14ac:dyDescent="0.35">
      <c r="A33" s="1" t="s">
        <v>130</v>
      </c>
      <c r="B33">
        <f>B32-G29+G30</f>
        <v>1424.6379187802822</v>
      </c>
    </row>
    <row r="34" spans="1:2" x14ac:dyDescent="0.35">
      <c r="A34" s="1" t="s">
        <v>131</v>
      </c>
      <c r="B34">
        <f>B33/B20</f>
        <v>2.4884968969169976</v>
      </c>
    </row>
    <row r="35" spans="1:2" x14ac:dyDescent="0.35">
      <c r="A35" s="1" t="s">
        <v>132</v>
      </c>
      <c r="B35">
        <f>B34^(1/5)-1</f>
        <v>0.20001706133168473</v>
      </c>
    </row>
    <row r="36" spans="1:2" x14ac:dyDescent="0.35">
      <c r="A36" s="1" t="s">
        <v>133</v>
      </c>
      <c r="B36">
        <v>0.2</v>
      </c>
    </row>
    <row r="37" spans="1:2" x14ac:dyDescent="0.35">
      <c r="A37" s="1" t="s">
        <v>134</v>
      </c>
      <c r="B37">
        <f>IF(B35&gt;=B36,1,0)</f>
        <v>1</v>
      </c>
    </row>
    <row r="38" spans="1:2" x14ac:dyDescent="0.35">
      <c r="A38" s="1" t="s">
        <v>135</v>
      </c>
      <c r="B38">
        <v>3.656002430166319E-3</v>
      </c>
    </row>
    <row r="39" spans="1:2" x14ac:dyDescent="0.35">
      <c r="A39" s="1" t="s">
        <v>136</v>
      </c>
      <c r="B39">
        <v>1.3211609958305439E-2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39"/>
  <sheetViews>
    <sheetView workbookViewId="0"/>
  </sheetViews>
  <sheetFormatPr defaultRowHeight="14.5" x14ac:dyDescent="0.35"/>
  <sheetData>
    <row r="1" spans="1:7" x14ac:dyDescent="0.35">
      <c r="A1" s="1"/>
      <c r="B1" s="1" t="s">
        <v>100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</row>
    <row r="2" spans="1:7" x14ac:dyDescent="0.35">
      <c r="A2" s="1" t="s">
        <v>101</v>
      </c>
      <c r="B2">
        <v>108.408203125</v>
      </c>
    </row>
    <row r="3" spans="1:7" x14ac:dyDescent="0.35">
      <c r="A3" s="1" t="s">
        <v>102</v>
      </c>
      <c r="B3">
        <v>13.633262999999999</v>
      </c>
    </row>
    <row r="4" spans="1:7" x14ac:dyDescent="0.35">
      <c r="A4" s="1" t="s">
        <v>103</v>
      </c>
      <c r="B4">
        <f>B2*B3</f>
        <v>1477.9575445605469</v>
      </c>
    </row>
    <row r="5" spans="1:7" x14ac:dyDescent="0.35">
      <c r="A5" s="1" t="s">
        <v>104</v>
      </c>
      <c r="B5">
        <v>86.995000000000005</v>
      </c>
    </row>
    <row r="6" spans="1:7" x14ac:dyDescent="0.35">
      <c r="A6" s="1" t="s">
        <v>105</v>
      </c>
      <c r="B6">
        <v>58.13</v>
      </c>
    </row>
    <row r="7" spans="1:7" x14ac:dyDescent="0.35">
      <c r="A7" s="1" t="s">
        <v>106</v>
      </c>
      <c r="B7">
        <v>30</v>
      </c>
    </row>
    <row r="8" spans="1:7" x14ac:dyDescent="0.35">
      <c r="A8" s="1" t="s">
        <v>107</v>
      </c>
      <c r="B8">
        <f>B4+B5-B6</f>
        <v>1506.8225445605467</v>
      </c>
    </row>
    <row r="9" spans="1:7" x14ac:dyDescent="0.35">
      <c r="A9" s="1" t="s">
        <v>108</v>
      </c>
      <c r="B9">
        <v>111.98399999999999</v>
      </c>
    </row>
    <row r="10" spans="1:7" x14ac:dyDescent="0.35">
      <c r="A10" s="1" t="s">
        <v>109</v>
      </c>
      <c r="B10">
        <f>B8/B9</f>
        <v>13.455694961427943</v>
      </c>
    </row>
    <row r="11" spans="1:7" x14ac:dyDescent="0.35">
      <c r="A11" s="1" t="s">
        <v>110</v>
      </c>
      <c r="B11">
        <v>5.5</v>
      </c>
    </row>
    <row r="12" spans="1:7" x14ac:dyDescent="0.35">
      <c r="A12" s="1" t="s">
        <v>111</v>
      </c>
      <c r="B12">
        <f>B11*B9</f>
        <v>615.91199999999992</v>
      </c>
    </row>
    <row r="13" spans="1:7" x14ac:dyDescent="0.35">
      <c r="A13" s="1" t="s">
        <v>112</v>
      </c>
      <c r="B13">
        <v>4.3400000000000001E-2</v>
      </c>
    </row>
    <row r="14" spans="1:7" x14ac:dyDescent="0.35">
      <c r="A14" s="1" t="s">
        <v>113</v>
      </c>
      <c r="B14">
        <v>3.5000000000000003E-2</v>
      </c>
    </row>
    <row r="15" spans="1:7" x14ac:dyDescent="0.35">
      <c r="A15" s="1" t="s">
        <v>114</v>
      </c>
      <c r="B15">
        <f>B13+B14</f>
        <v>7.8399999999999997E-2</v>
      </c>
    </row>
    <row r="16" spans="1:7" x14ac:dyDescent="0.35">
      <c r="A16" s="1" t="s">
        <v>115</v>
      </c>
      <c r="B16">
        <v>0.02</v>
      </c>
    </row>
    <row r="17" spans="1:7" x14ac:dyDescent="0.35">
      <c r="A17" s="1" t="s">
        <v>116</v>
      </c>
      <c r="B17">
        <v>2.5000000000000001E-2</v>
      </c>
    </row>
    <row r="18" spans="1:7" x14ac:dyDescent="0.35">
      <c r="A18" s="1" t="s">
        <v>117</v>
      </c>
      <c r="B18">
        <f>B4+B5+B8*B16+B12*B17</f>
        <v>1610.4867954517576</v>
      </c>
    </row>
    <row r="19" spans="1:7" x14ac:dyDescent="0.35">
      <c r="A19" s="1" t="s">
        <v>118</v>
      </c>
      <c r="B19">
        <f>B6-B7</f>
        <v>28.130000000000003</v>
      </c>
    </row>
    <row r="20" spans="1:7" x14ac:dyDescent="0.35">
      <c r="A20" s="1" t="s">
        <v>119</v>
      </c>
      <c r="B20">
        <f>B18-B12-B19</f>
        <v>966.44479545175773</v>
      </c>
    </row>
    <row r="21" spans="1:7" x14ac:dyDescent="0.35">
      <c r="A21" s="1" t="s">
        <v>41</v>
      </c>
      <c r="C21">
        <f>'DCF Base'!C4</f>
        <v>642.4997552750001</v>
      </c>
      <c r="D21">
        <f>'DCF Base'!D4</f>
        <v>681.04974059150015</v>
      </c>
      <c r="E21">
        <f>'DCF Base'!E4</f>
        <v>721.91272502699019</v>
      </c>
      <c r="F21">
        <f>'DCF Base'!F4</f>
        <v>765.22748852860968</v>
      </c>
      <c r="G21">
        <f>'DCF Base'!G4</f>
        <v>811.14113784032634</v>
      </c>
    </row>
    <row r="22" spans="1:7" x14ac:dyDescent="0.35">
      <c r="A22" s="1" t="s">
        <v>120</v>
      </c>
      <c r="C22">
        <f>'DCF Base'!C6+C21*(B39-B38)</f>
        <v>114.90633156957227</v>
      </c>
      <c r="D22">
        <f>'DCF Base'!D6+D21*(B39-B38)</f>
        <v>124.71914581212931</v>
      </c>
      <c r="E22">
        <f>'DCF Base'!E6+E21*(B39-B38)</f>
        <v>133.74906476549992</v>
      </c>
      <c r="F22">
        <f>'DCF Base'!F6+F21*(B39-B38)</f>
        <v>143.41358506835132</v>
      </c>
      <c r="G22">
        <f>'DCF Base'!G6+G21*(B39-B38)</f>
        <v>153.7563511743891</v>
      </c>
    </row>
    <row r="23" spans="1:7" x14ac:dyDescent="0.35">
      <c r="A23" s="1" t="s">
        <v>121</v>
      </c>
      <c r="C23">
        <f>'DCF Base'!C11</f>
        <v>64.475486516603951</v>
      </c>
      <c r="D23">
        <f>'DCF Base'!D11</f>
        <v>70.591210155854881</v>
      </c>
      <c r="E23">
        <f>'DCF Base'!E11</f>
        <v>76.017695822781135</v>
      </c>
      <c r="F23">
        <f>'DCF Base'!F11</f>
        <v>81.841231413177496</v>
      </c>
      <c r="G23">
        <f>'DCF Base'!G11</f>
        <v>90.928921551900572</v>
      </c>
    </row>
    <row r="24" spans="1:7" x14ac:dyDescent="0.35">
      <c r="A24" s="1" t="s">
        <v>122</v>
      </c>
      <c r="C24">
        <f>B15*B12</f>
        <v>48.287500799999989</v>
      </c>
      <c r="D24">
        <f>B15*C29</f>
        <v>46.147642505392639</v>
      </c>
      <c r="E24">
        <f>B15*D29</f>
        <v>43.399132511939158</v>
      </c>
      <c r="F24">
        <f>B15*E29</f>
        <v>40.059263990913863</v>
      </c>
      <c r="G24">
        <f>B15*F29</f>
        <v>36.061209096724234</v>
      </c>
    </row>
    <row r="25" spans="1:7" x14ac:dyDescent="0.35">
      <c r="A25" s="1" t="s">
        <v>44</v>
      </c>
      <c r="C25">
        <f>'DCF Base'!C7</f>
        <v>0.23</v>
      </c>
      <c r="D25">
        <f>'DCF Base'!D7</f>
        <v>0.23</v>
      </c>
      <c r="E25">
        <f>'DCF Base'!E7</f>
        <v>0.23</v>
      </c>
      <c r="F25">
        <f>'DCF Base'!F7</f>
        <v>0.23</v>
      </c>
      <c r="G25">
        <f>'DCF Base'!G7</f>
        <v>0.23</v>
      </c>
    </row>
    <row r="26" spans="1:7" x14ac:dyDescent="0.35">
      <c r="A26" s="1" t="s">
        <v>123</v>
      </c>
      <c r="C26">
        <f>C24*(1-C25)</f>
        <v>37.18137561599999</v>
      </c>
      <c r="D26">
        <f>D24*(1-D25)</f>
        <v>35.533684729152334</v>
      </c>
      <c r="E26">
        <f>E24*(1-E25)</f>
        <v>33.417332034193151</v>
      </c>
      <c r="F26">
        <f>F24*(1-F25)</f>
        <v>30.845633273003674</v>
      </c>
      <c r="G26">
        <f>G24*(1-G25)</f>
        <v>27.767131004477662</v>
      </c>
    </row>
    <row r="27" spans="1:7" x14ac:dyDescent="0.35">
      <c r="A27" s="1" t="s">
        <v>124</v>
      </c>
      <c r="C27">
        <f>C23-C26</f>
        <v>27.294110900603961</v>
      </c>
      <c r="D27">
        <f>D23-D26</f>
        <v>35.057525426702547</v>
      </c>
      <c r="E27">
        <f>E23-E26</f>
        <v>42.600363788587984</v>
      </c>
      <c r="F27">
        <f>F23-F26</f>
        <v>50.995598140173826</v>
      </c>
      <c r="G27">
        <f>G23-G26</f>
        <v>63.16179054742291</v>
      </c>
    </row>
    <row r="28" spans="1:7" x14ac:dyDescent="0.35">
      <c r="A28" s="1" t="s">
        <v>125</v>
      </c>
      <c r="C28">
        <f>IF(C27&gt;B12,B12,C27)</f>
        <v>27.294110900603961</v>
      </c>
      <c r="D28">
        <f>IF(D27&gt;C29,C29,D27)</f>
        <v>35.057525426702547</v>
      </c>
      <c r="E28">
        <f>IF(E27&gt;D29,D29,E27)</f>
        <v>42.600363788587984</v>
      </c>
      <c r="F28">
        <f>IF(F27&gt;E29,E29,F27)</f>
        <v>50.995598140173826</v>
      </c>
      <c r="G28">
        <f>IF(G27&gt;F29,F29,G27)</f>
        <v>63.16179054742291</v>
      </c>
    </row>
    <row r="29" spans="1:7" x14ac:dyDescent="0.35">
      <c r="A29" s="1" t="s">
        <v>126</v>
      </c>
      <c r="B29">
        <f>B12</f>
        <v>615.91199999999992</v>
      </c>
      <c r="C29">
        <f>B12-C28</f>
        <v>588.61788909939594</v>
      </c>
      <c r="D29">
        <f>C29-D28</f>
        <v>553.56036367269337</v>
      </c>
      <c r="E29">
        <f>D29-E28</f>
        <v>510.9599998841054</v>
      </c>
      <c r="F29">
        <f>E29-F28</f>
        <v>459.9644017439316</v>
      </c>
      <c r="G29">
        <f>F29-G28</f>
        <v>396.80261119650868</v>
      </c>
    </row>
    <row r="30" spans="1:7" x14ac:dyDescent="0.35">
      <c r="A30" s="1" t="s">
        <v>127</v>
      </c>
      <c r="B30">
        <f>B7</f>
        <v>30</v>
      </c>
      <c r="C30">
        <f>B7+C27-C28</f>
        <v>30</v>
      </c>
      <c r="D30">
        <f>C30+D27-D28</f>
        <v>29.999999999999993</v>
      </c>
      <c r="E30">
        <f>D30+E27-E28</f>
        <v>29.999999999999986</v>
      </c>
      <c r="F30">
        <f>E30+F27-F28</f>
        <v>29.999999999999986</v>
      </c>
      <c r="G30">
        <f>F30+G27-G28</f>
        <v>29.999999999999986</v>
      </c>
    </row>
    <row r="31" spans="1:7" x14ac:dyDescent="0.35">
      <c r="A31" s="1" t="s">
        <v>128</v>
      </c>
      <c r="B31">
        <v>16.46425504632656</v>
      </c>
    </row>
    <row r="32" spans="1:7" x14ac:dyDescent="0.35">
      <c r="A32" s="1" t="s">
        <v>129</v>
      </c>
      <c r="B32">
        <f>B31*G22</f>
        <v>2531.4837807276945</v>
      </c>
    </row>
    <row r="33" spans="1:2" x14ac:dyDescent="0.35">
      <c r="A33" s="1" t="s">
        <v>130</v>
      </c>
      <c r="B33">
        <f>B32-G29+G30</f>
        <v>2164.6811695311858</v>
      </c>
    </row>
    <row r="34" spans="1:2" x14ac:dyDescent="0.35">
      <c r="A34" s="1" t="s">
        <v>131</v>
      </c>
      <c r="B34">
        <f>B33/B20</f>
        <v>2.2398394400989257</v>
      </c>
    </row>
    <row r="35" spans="1:2" x14ac:dyDescent="0.35">
      <c r="A35" s="1" t="s">
        <v>132</v>
      </c>
      <c r="B35">
        <f>B34^(1/5)-1</f>
        <v>0.17501491009025982</v>
      </c>
    </row>
    <row r="36" spans="1:2" x14ac:dyDescent="0.35">
      <c r="A36" s="1" t="s">
        <v>133</v>
      </c>
      <c r="B36">
        <v>0.17499999999999999</v>
      </c>
    </row>
    <row r="37" spans="1:2" x14ac:dyDescent="0.35">
      <c r="A37" s="1" t="s">
        <v>134</v>
      </c>
      <c r="B37">
        <f>IF(B35&gt;=B36,1,0)</f>
        <v>1</v>
      </c>
    </row>
    <row r="38" spans="1:2" x14ac:dyDescent="0.35">
      <c r="A38" s="1" t="s">
        <v>135</v>
      </c>
      <c r="B38">
        <v>3.656002430166319E-3</v>
      </c>
    </row>
    <row r="39" spans="1:2" x14ac:dyDescent="0.35">
      <c r="A39" s="1" t="s">
        <v>136</v>
      </c>
      <c r="B39">
        <v>1.3211609958305439E-2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21"/>
  <sheetViews>
    <sheetView workbookViewId="0"/>
  </sheetViews>
  <sheetFormatPr defaultRowHeight="14.5" x14ac:dyDescent="0.35"/>
  <sheetData>
    <row r="1" spans="1:12" x14ac:dyDescent="0.35">
      <c r="A1" s="1"/>
      <c r="B1" s="1" t="s">
        <v>69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</row>
    <row r="2" spans="1:12" x14ac:dyDescent="0.35">
      <c r="A2" s="1" t="s">
        <v>137</v>
      </c>
      <c r="C2">
        <f>'DCF Base'!C4</f>
        <v>642.4997552750001</v>
      </c>
      <c r="D2">
        <f>'DCF Base'!D4</f>
        <v>681.04974059150015</v>
      </c>
      <c r="E2">
        <f>'DCF Base'!E4</f>
        <v>721.91272502699019</v>
      </c>
      <c r="F2">
        <f>'DCF Base'!F4</f>
        <v>765.22748852860968</v>
      </c>
      <c r="G2">
        <f>'DCF Base'!G4</f>
        <v>811.14113784032634</v>
      </c>
      <c r="H2">
        <f>'DCF Base'!H4</f>
        <v>854.13161814586363</v>
      </c>
      <c r="I2">
        <f>'DCF Base'!I4</f>
        <v>893.42167258057339</v>
      </c>
      <c r="J2">
        <f>'DCF Base'!J4</f>
        <v>928.26511781121565</v>
      </c>
      <c r="K2">
        <f>'DCF Base'!K4</f>
        <v>957.96960158117463</v>
      </c>
      <c r="L2">
        <f>'DCF Base'!L4</f>
        <v>981.91884162070392</v>
      </c>
    </row>
    <row r="3" spans="1:12" x14ac:dyDescent="0.35">
      <c r="A3" s="1" t="s">
        <v>138</v>
      </c>
      <c r="C3">
        <v>0.5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</row>
    <row r="4" spans="1:12" x14ac:dyDescent="0.35">
      <c r="A4" s="1" t="s">
        <v>139</v>
      </c>
      <c r="C4">
        <f>C2*B10*C3</f>
        <v>10.362899278629033</v>
      </c>
      <c r="D4">
        <f>D2*B10*D3</f>
        <v>21.969346470693552</v>
      </c>
      <c r="E4">
        <f>E2*B10*E3</f>
        <v>23.287507258935168</v>
      </c>
      <c r="F4">
        <f>F2*B10*F3</f>
        <v>24.68475769447128</v>
      </c>
      <c r="G4">
        <f>G2*B10*G3</f>
        <v>26.165843156139559</v>
      </c>
      <c r="H4">
        <f>H2*B10*H3</f>
        <v>27.552632843414955</v>
      </c>
      <c r="I4">
        <f>I2*B10*I3</f>
        <v>28.820053954212042</v>
      </c>
      <c r="J4">
        <f>J2*B10*J3</f>
        <v>29.94403605842631</v>
      </c>
      <c r="K4">
        <f>K2*B10*K3</f>
        <v>30.902245212295956</v>
      </c>
      <c r="L4">
        <f>L2*B10*L3</f>
        <v>31.674801342603352</v>
      </c>
    </row>
    <row r="5" spans="1:12" x14ac:dyDescent="0.35">
      <c r="A5" s="1" t="s">
        <v>140</v>
      </c>
      <c r="C5">
        <f>0.5*B11*D2*B10</f>
        <v>10.984673235346776</v>
      </c>
      <c r="D5">
        <f>0.5*B11*D2*B10</f>
        <v>10.984673235346776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35">
      <c r="A6" s="1" t="s">
        <v>141</v>
      </c>
      <c r="C6">
        <f>'DCF Base'!C7</f>
        <v>0.23</v>
      </c>
      <c r="D6">
        <f>'DCF Base'!D7</f>
        <v>0.23</v>
      </c>
      <c r="E6">
        <f>'DCF Base'!E7</f>
        <v>0.23</v>
      </c>
      <c r="F6">
        <f>'DCF Base'!F7</f>
        <v>0.23</v>
      </c>
      <c r="G6">
        <f>'DCF Base'!G7</f>
        <v>0.23</v>
      </c>
      <c r="H6">
        <f>'DCF Base'!H7</f>
        <v>0.23400000000000001</v>
      </c>
      <c r="I6">
        <f>'DCF Base'!I7</f>
        <v>0.23800000000000002</v>
      </c>
      <c r="J6">
        <f>'DCF Base'!J7</f>
        <v>0.24200000000000002</v>
      </c>
      <c r="K6">
        <f>'DCF Base'!K7</f>
        <v>0.24600000000000002</v>
      </c>
      <c r="L6">
        <f>'DCF Base'!L7</f>
        <v>0.25</v>
      </c>
    </row>
    <row r="7" spans="1:12" x14ac:dyDescent="0.35">
      <c r="A7" s="1" t="s">
        <v>142</v>
      </c>
      <c r="C7">
        <f t="shared" ref="C7:L7" si="0">(C4-C5)*(1-C6)</f>
        <v>-0.47876594667266176</v>
      </c>
      <c r="D7">
        <f t="shared" si="0"/>
        <v>8.4581983912170173</v>
      </c>
      <c r="E7">
        <f t="shared" si="0"/>
        <v>17.93138058938008</v>
      </c>
      <c r="F7">
        <f t="shared" si="0"/>
        <v>19.007263424742884</v>
      </c>
      <c r="G7">
        <f t="shared" si="0"/>
        <v>20.14769923022746</v>
      </c>
      <c r="H7">
        <f t="shared" si="0"/>
        <v>21.105316758055856</v>
      </c>
      <c r="I7">
        <f t="shared" si="0"/>
        <v>21.960881113109576</v>
      </c>
      <c r="J7">
        <f t="shared" si="0"/>
        <v>22.697579332287145</v>
      </c>
      <c r="K7">
        <f t="shared" si="0"/>
        <v>23.300292890071152</v>
      </c>
      <c r="L7">
        <f t="shared" si="0"/>
        <v>23.756101006952512</v>
      </c>
    </row>
    <row r="8" spans="1:12" x14ac:dyDescent="0.35">
      <c r="A8" s="1" t="s">
        <v>143</v>
      </c>
      <c r="C8">
        <f>'DCF Base'!C13</f>
        <v>0.93108655939308049</v>
      </c>
      <c r="D8">
        <f>'DCF Base'!D13</f>
        <v>0.86692218108244445</v>
      </c>
      <c r="E8">
        <f>'DCF Base'!E13</f>
        <v>0.80717959084559832</v>
      </c>
      <c r="F8">
        <f>'DCF Base'!F13</f>
        <v>0.75155406805274261</v>
      </c>
      <c r="G8">
        <f>'DCF Base'!G13</f>
        <v>0.69976189142110123</v>
      </c>
      <c r="H8">
        <f>'DCF Base'!H13</f>
        <v>0.65153889187766756</v>
      </c>
      <c r="I8">
        <f>'DCF Base'!I13</f>
        <v>0.60663910514915775</v>
      </c>
      <c r="J8">
        <f>'DCF Base'!J13</f>
        <v>0.56483351720662645</v>
      </c>
      <c r="K8">
        <f>'DCF Base'!K13</f>
        <v>0.52590889616581016</v>
      </c>
      <c r="L8">
        <f>'DCF Base'!L13</f>
        <v>0.48966670468523699</v>
      </c>
    </row>
    <row r="9" spans="1:12" x14ac:dyDescent="0.35">
      <c r="A9" s="1" t="s">
        <v>144</v>
      </c>
      <c r="C9">
        <f t="shared" ref="C9:L9" si="1">C7*C8</f>
        <v>-0.44577253804201972</v>
      </c>
      <c r="D9">
        <f t="shared" si="1"/>
        <v>7.3325997973418797</v>
      </c>
      <c r="E9">
        <f t="shared" si="1"/>
        <v>14.473844447432516</v>
      </c>
      <c r="F9">
        <f t="shared" si="1"/>
        <v>14.284986149415619</v>
      </c>
      <c r="G9">
        <f t="shared" si="1"/>
        <v>14.098592121127432</v>
      </c>
      <c r="H9">
        <f t="shared" si="1"/>
        <v>13.75093469327088</v>
      </c>
      <c r="I9">
        <f t="shared" si="1"/>
        <v>13.322329266743832</v>
      </c>
      <c r="J9">
        <f t="shared" si="1"/>
        <v>12.82035356633218</v>
      </c>
      <c r="K9">
        <f t="shared" si="1"/>
        <v>12.253831314157393</v>
      </c>
      <c r="L9">
        <f t="shared" si="1"/>
        <v>11.632571696244076</v>
      </c>
    </row>
    <row r="10" spans="1:12" x14ac:dyDescent="0.35">
      <c r="A10" s="1" t="s">
        <v>145</v>
      </c>
      <c r="B10">
        <v>3.2258064516129031E-2</v>
      </c>
    </row>
    <row r="11" spans="1:12" x14ac:dyDescent="0.35">
      <c r="A11" s="1" t="s">
        <v>146</v>
      </c>
      <c r="B11">
        <v>1</v>
      </c>
    </row>
    <row r="12" spans="1:12" x14ac:dyDescent="0.35">
      <c r="A12" s="1" t="s">
        <v>147</v>
      </c>
      <c r="B12">
        <f>'DCF Base'!M3</f>
        <v>2.5000000000000001E-2</v>
      </c>
    </row>
    <row r="13" spans="1:12" x14ac:dyDescent="0.35">
      <c r="A13" s="1" t="s">
        <v>148</v>
      </c>
      <c r="B13">
        <f>'DCF Base'!M12</f>
        <v>7.4013999999999996E-2</v>
      </c>
    </row>
    <row r="14" spans="1:12" x14ac:dyDescent="0.35">
      <c r="A14" s="1" t="s">
        <v>149</v>
      </c>
      <c r="B14">
        <f>L4*(1+B12)*(1-'DCF Base'!M7)/(B13-B12)</f>
        <v>496.79690562138018</v>
      </c>
    </row>
    <row r="15" spans="1:12" x14ac:dyDescent="0.35">
      <c r="A15" s="1" t="s">
        <v>56</v>
      </c>
      <c r="B15">
        <f>B14*L8</f>
        <v>243.26490367344391</v>
      </c>
    </row>
    <row r="16" spans="1:12" x14ac:dyDescent="0.35">
      <c r="A16" s="1" t="s">
        <v>150</v>
      </c>
      <c r="B16">
        <f>SUM(C9:L9)</f>
        <v>113.52427051402378</v>
      </c>
    </row>
    <row r="17" spans="1:2" x14ac:dyDescent="0.35">
      <c r="A17" s="1" t="s">
        <v>151</v>
      </c>
      <c r="B17">
        <f>B16+B15</f>
        <v>356.78917418746767</v>
      </c>
    </row>
    <row r="18" spans="1:2" x14ac:dyDescent="0.35">
      <c r="A18" s="1" t="s">
        <v>152</v>
      </c>
      <c r="B18">
        <v>13.633262999999999</v>
      </c>
    </row>
    <row r="19" spans="1:2" x14ac:dyDescent="0.35">
      <c r="A19" s="1" t="s">
        <v>153</v>
      </c>
      <c r="B19">
        <f>B17/B18</f>
        <v>26.170490086450155</v>
      </c>
    </row>
    <row r="20" spans="1:2" x14ac:dyDescent="0.35">
      <c r="A20" s="1" t="s">
        <v>154</v>
      </c>
      <c r="B20">
        <f>'DCF Base'!B30</f>
        <v>126.29920921035679</v>
      </c>
    </row>
    <row r="21" spans="1:2" x14ac:dyDescent="0.35">
      <c r="A21" s="1" t="s">
        <v>155</v>
      </c>
      <c r="B21">
        <f>B20+B19</f>
        <v>152.46969929680694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21"/>
  <sheetViews>
    <sheetView workbookViewId="0"/>
  </sheetViews>
  <sheetFormatPr defaultRowHeight="14.5" x14ac:dyDescent="0.35"/>
  <sheetData>
    <row r="1" spans="1:12" x14ac:dyDescent="0.35">
      <c r="A1" s="1"/>
      <c r="B1" s="1" t="s">
        <v>69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</row>
    <row r="2" spans="1:12" x14ac:dyDescent="0.35">
      <c r="A2" s="1" t="s">
        <v>137</v>
      </c>
      <c r="C2">
        <f>'DCF Base'!C4</f>
        <v>642.4997552750001</v>
      </c>
      <c r="D2">
        <f>'DCF Base'!D4</f>
        <v>681.04974059150015</v>
      </c>
      <c r="E2">
        <f>'DCF Base'!E4</f>
        <v>721.91272502699019</v>
      </c>
      <c r="F2">
        <f>'DCF Base'!F4</f>
        <v>765.22748852860968</v>
      </c>
      <c r="G2">
        <f>'DCF Base'!G4</f>
        <v>811.14113784032634</v>
      </c>
      <c r="H2">
        <f>'DCF Base'!H4</f>
        <v>854.13161814586363</v>
      </c>
      <c r="I2">
        <f>'DCF Base'!I4</f>
        <v>893.42167258057339</v>
      </c>
      <c r="J2">
        <f>'DCF Base'!J4</f>
        <v>928.26511781121565</v>
      </c>
      <c r="K2">
        <f>'DCF Base'!K4</f>
        <v>957.96960158117463</v>
      </c>
      <c r="L2">
        <f>'DCF Base'!L4</f>
        <v>981.91884162070392</v>
      </c>
    </row>
    <row r="3" spans="1:12" x14ac:dyDescent="0.35">
      <c r="A3" s="1" t="s">
        <v>138</v>
      </c>
      <c r="C3">
        <v>0.5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</row>
    <row r="4" spans="1:12" x14ac:dyDescent="0.35">
      <c r="A4" s="1" t="s">
        <v>139</v>
      </c>
      <c r="C4">
        <f>C2*B10*C3</f>
        <v>15.485206642657779</v>
      </c>
      <c r="D4">
        <f>D2*B10*D3</f>
        <v>32.828638082434495</v>
      </c>
      <c r="E4">
        <f>E2*B10*E3</f>
        <v>34.798356367380563</v>
      </c>
      <c r="F4">
        <f>F2*B10*F3</f>
        <v>36.8862577494234</v>
      </c>
      <c r="G4">
        <f>G2*B10*G3</f>
        <v>39.09943321438881</v>
      </c>
      <c r="H4">
        <f>H2*B10*H3</f>
        <v>41.171703174751414</v>
      </c>
      <c r="I4">
        <f>I2*B10*I3</f>
        <v>43.065601520789983</v>
      </c>
      <c r="J4">
        <f>J2*B10*J3</f>
        <v>44.745159980100787</v>
      </c>
      <c r="K4">
        <f>K2*B10*K3</f>
        <v>46.177005099464019</v>
      </c>
      <c r="L4">
        <f>L2*B10*L3</f>
        <v>47.331430226950616</v>
      </c>
    </row>
    <row r="5" spans="1:12" x14ac:dyDescent="0.35">
      <c r="A5" s="1" t="s">
        <v>140</v>
      </c>
      <c r="C5">
        <f>0.5*B11*D2*B10</f>
        <v>16.414319041217247</v>
      </c>
      <c r="D5">
        <f>0.5*B11*D2*B10</f>
        <v>16.414319041217247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35">
      <c r="A6" s="1" t="s">
        <v>141</v>
      </c>
      <c r="C6">
        <f>'DCF Base'!C7</f>
        <v>0.23</v>
      </c>
      <c r="D6">
        <f>'DCF Base'!D7</f>
        <v>0.23</v>
      </c>
      <c r="E6">
        <f>'DCF Base'!E7</f>
        <v>0.23</v>
      </c>
      <c r="F6">
        <f>'DCF Base'!F7</f>
        <v>0.23</v>
      </c>
      <c r="G6">
        <f>'DCF Base'!G7</f>
        <v>0.23</v>
      </c>
      <c r="H6">
        <f>'DCF Base'!H7</f>
        <v>0.23400000000000001</v>
      </c>
      <c r="I6">
        <f>'DCF Base'!I7</f>
        <v>0.23800000000000002</v>
      </c>
      <c r="J6">
        <f>'DCF Base'!J7</f>
        <v>0.24200000000000002</v>
      </c>
      <c r="K6">
        <f>'DCF Base'!K7</f>
        <v>0.24600000000000002</v>
      </c>
      <c r="L6">
        <f>'DCF Base'!L7</f>
        <v>0.25</v>
      </c>
    </row>
    <row r="7" spans="1:12" x14ac:dyDescent="0.35">
      <c r="A7" s="1" t="s">
        <v>142</v>
      </c>
      <c r="C7">
        <f t="shared" ref="C7:L7" si="0">(C4-C5)*(1-C6)</f>
        <v>-0.71541654689079037</v>
      </c>
      <c r="D7">
        <f t="shared" si="0"/>
        <v>12.63902566173728</v>
      </c>
      <c r="E7">
        <f t="shared" si="0"/>
        <v>26.794734402883034</v>
      </c>
      <c r="F7">
        <f t="shared" si="0"/>
        <v>28.40241846705602</v>
      </c>
      <c r="G7">
        <f t="shared" si="0"/>
        <v>30.106563575079385</v>
      </c>
      <c r="H7">
        <f t="shared" si="0"/>
        <v>31.537524631859583</v>
      </c>
      <c r="I7">
        <f t="shared" si="0"/>
        <v>32.81598835884197</v>
      </c>
      <c r="J7">
        <f t="shared" si="0"/>
        <v>33.916831264916397</v>
      </c>
      <c r="K7">
        <f t="shared" si="0"/>
        <v>34.817461844995869</v>
      </c>
      <c r="L7">
        <f t="shared" si="0"/>
        <v>35.498572670212965</v>
      </c>
    </row>
    <row r="8" spans="1:12" x14ac:dyDescent="0.35">
      <c r="A8" s="1" t="s">
        <v>143</v>
      </c>
      <c r="C8">
        <f>'DCF Base'!C13</f>
        <v>0.93108655939308049</v>
      </c>
      <c r="D8">
        <f>'DCF Base'!D13</f>
        <v>0.86692218108244445</v>
      </c>
      <c r="E8">
        <f>'DCF Base'!E13</f>
        <v>0.80717959084559832</v>
      </c>
      <c r="F8">
        <f>'DCF Base'!F13</f>
        <v>0.75155406805274261</v>
      </c>
      <c r="G8">
        <f>'DCF Base'!G13</f>
        <v>0.69976189142110123</v>
      </c>
      <c r="H8">
        <f>'DCF Base'!H13</f>
        <v>0.65153889187766756</v>
      </c>
      <c r="I8">
        <f>'DCF Base'!I13</f>
        <v>0.60663910514915775</v>
      </c>
      <c r="J8">
        <f>'DCF Base'!J13</f>
        <v>0.56483351720662645</v>
      </c>
      <c r="K8">
        <f>'DCF Base'!K13</f>
        <v>0.52590889616581016</v>
      </c>
      <c r="L8">
        <f>'DCF Base'!L13</f>
        <v>0.48966670468523699</v>
      </c>
    </row>
    <row r="9" spans="1:12" x14ac:dyDescent="0.35">
      <c r="A9" s="1" t="s">
        <v>144</v>
      </c>
      <c r="C9">
        <f t="shared" ref="C9:L9" si="1">C7*C8</f>
        <v>-0.66611473117742448</v>
      </c>
      <c r="D9">
        <f t="shared" si="1"/>
        <v>10.95705169343027</v>
      </c>
      <c r="E9">
        <f t="shared" si="1"/>
        <v>21.628162752135605</v>
      </c>
      <c r="F9">
        <f t="shared" si="1"/>
        <v>21.345953141452291</v>
      </c>
      <c r="G9">
        <f t="shared" si="1"/>
        <v>21.067425871487181</v>
      </c>
      <c r="H9">
        <f t="shared" si="1"/>
        <v>20.547923851206438</v>
      </c>
      <c r="I9">
        <f t="shared" si="1"/>
        <v>19.90746181259307</v>
      </c>
      <c r="J9">
        <f t="shared" si="1"/>
        <v>19.157363095866401</v>
      </c>
      <c r="K9">
        <f t="shared" si="1"/>
        <v>18.310812926196988</v>
      </c>
      <c r="L9">
        <f t="shared" si="1"/>
        <v>17.382469100452596</v>
      </c>
    </row>
    <row r="10" spans="1:12" x14ac:dyDescent="0.35">
      <c r="A10" s="1" t="s">
        <v>145</v>
      </c>
      <c r="B10">
        <v>4.8202996236254951E-2</v>
      </c>
    </row>
    <row r="11" spans="1:12" x14ac:dyDescent="0.35">
      <c r="A11" s="1" t="s">
        <v>146</v>
      </c>
      <c r="B11">
        <v>1</v>
      </c>
    </row>
    <row r="12" spans="1:12" x14ac:dyDescent="0.35">
      <c r="A12" s="1" t="s">
        <v>147</v>
      </c>
      <c r="B12">
        <f>'DCF Base'!M3</f>
        <v>2.5000000000000001E-2</v>
      </c>
    </row>
    <row r="13" spans="1:12" x14ac:dyDescent="0.35">
      <c r="A13" s="1" t="s">
        <v>148</v>
      </c>
      <c r="B13">
        <f>'DCF Base'!M12</f>
        <v>7.4013999999999996E-2</v>
      </c>
    </row>
    <row r="14" spans="1:12" x14ac:dyDescent="0.35">
      <c r="A14" s="1" t="s">
        <v>149</v>
      </c>
      <c r="B14">
        <f>L4*(1+B12)*(1-'DCF Base'!M7)/(B13-B12)</f>
        <v>742.36008052736531</v>
      </c>
    </row>
    <row r="15" spans="1:12" x14ac:dyDescent="0.35">
      <c r="A15" s="1" t="s">
        <v>56</v>
      </c>
      <c r="B15">
        <f>B14*L8</f>
        <v>363.50901432170213</v>
      </c>
    </row>
    <row r="16" spans="1:12" x14ac:dyDescent="0.35">
      <c r="A16" s="1" t="s">
        <v>150</v>
      </c>
      <c r="B16">
        <f>SUM(C9:L9)</f>
        <v>169.63850951364341</v>
      </c>
    </row>
    <row r="17" spans="1:2" x14ac:dyDescent="0.35">
      <c r="A17" s="1" t="s">
        <v>151</v>
      </c>
      <c r="B17">
        <f>B16+B15</f>
        <v>533.14752383534551</v>
      </c>
    </row>
    <row r="18" spans="1:2" x14ac:dyDescent="0.35">
      <c r="A18" s="1" t="s">
        <v>152</v>
      </c>
      <c r="B18">
        <v>13.633262999999999</v>
      </c>
    </row>
    <row r="19" spans="1:2" x14ac:dyDescent="0.35">
      <c r="A19" s="1" t="s">
        <v>153</v>
      </c>
      <c r="B19">
        <f>B17/B18</f>
        <v>39.106377089281231</v>
      </c>
    </row>
    <row r="20" spans="1:2" x14ac:dyDescent="0.35">
      <c r="A20" s="1" t="s">
        <v>154</v>
      </c>
      <c r="B20">
        <f>'DCF Base'!B30</f>
        <v>126.29920921035679</v>
      </c>
    </row>
    <row r="21" spans="1:2" x14ac:dyDescent="0.35">
      <c r="A21" s="1" t="s">
        <v>155</v>
      </c>
      <c r="B21">
        <f>B20+B19</f>
        <v>165.40558629963803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21"/>
  <sheetViews>
    <sheetView workbookViewId="0"/>
  </sheetViews>
  <sheetFormatPr defaultRowHeight="14.5" x14ac:dyDescent="0.35"/>
  <sheetData>
    <row r="1" spans="1:12" x14ac:dyDescent="0.35">
      <c r="A1" s="1"/>
      <c r="B1" s="1" t="s">
        <v>69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</row>
    <row r="2" spans="1:12" x14ac:dyDescent="0.35">
      <c r="A2" s="1" t="s">
        <v>137</v>
      </c>
      <c r="C2">
        <f>'DCF Base'!C4</f>
        <v>642.4997552750001</v>
      </c>
      <c r="D2">
        <f>'DCF Base'!D4</f>
        <v>681.04974059150015</v>
      </c>
      <c r="E2">
        <f>'DCF Base'!E4</f>
        <v>721.91272502699019</v>
      </c>
      <c r="F2">
        <f>'DCF Base'!F4</f>
        <v>765.22748852860968</v>
      </c>
      <c r="G2">
        <f>'DCF Base'!G4</f>
        <v>811.14113784032634</v>
      </c>
      <c r="H2">
        <f>'DCF Base'!H4</f>
        <v>854.13161814586363</v>
      </c>
      <c r="I2">
        <f>'DCF Base'!I4</f>
        <v>893.42167258057339</v>
      </c>
      <c r="J2">
        <f>'DCF Base'!J4</f>
        <v>928.26511781121565</v>
      </c>
      <c r="K2">
        <f>'DCF Base'!K4</f>
        <v>957.96960158117463</v>
      </c>
      <c r="L2">
        <f>'DCF Base'!L4</f>
        <v>981.91884162070392</v>
      </c>
    </row>
    <row r="3" spans="1:12" x14ac:dyDescent="0.35">
      <c r="A3" s="1" t="s">
        <v>138</v>
      </c>
      <c r="C3">
        <v>0.5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</row>
    <row r="4" spans="1:12" x14ac:dyDescent="0.35">
      <c r="A4" s="1" t="s">
        <v>139</v>
      </c>
      <c r="C4">
        <f>C2*B10*C3</f>
        <v>22.412782160755818</v>
      </c>
      <c r="D4">
        <f>D2*B10*D3</f>
        <v>47.515098180802333</v>
      </c>
      <c r="E4">
        <f>E2*B10*E3</f>
        <v>50.36600407165048</v>
      </c>
      <c r="F4">
        <f>F2*B10*F3</f>
        <v>53.38796431594951</v>
      </c>
      <c r="G4">
        <f>G2*B10*G3</f>
        <v>56.59124217490649</v>
      </c>
      <c r="H4">
        <f>H2*B10*H3</f>
        <v>59.590578010176529</v>
      </c>
      <c r="I4">
        <f>I2*B10*I3</f>
        <v>62.331744598644654</v>
      </c>
      <c r="J4">
        <f>J2*B10*J3</f>
        <v>64.762682637991787</v>
      </c>
      <c r="K4">
        <f>K2*B10*K3</f>
        <v>66.835088482407528</v>
      </c>
      <c r="L4">
        <f>L2*B10*L3</f>
        <v>68.505965694467719</v>
      </c>
    </row>
    <row r="5" spans="1:12" x14ac:dyDescent="0.35">
      <c r="A5" s="1" t="s">
        <v>140</v>
      </c>
      <c r="C5">
        <f>0.5*B11*D2*B10</f>
        <v>23.757549090401167</v>
      </c>
      <c r="D5">
        <f>0.5*B11*D2*B10</f>
        <v>23.757549090401167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35">
      <c r="A6" s="1" t="s">
        <v>141</v>
      </c>
      <c r="C6">
        <f>'DCF Base'!C7</f>
        <v>0.23</v>
      </c>
      <c r="D6">
        <f>'DCF Base'!D7</f>
        <v>0.23</v>
      </c>
      <c r="E6">
        <f>'DCF Base'!E7</f>
        <v>0.23</v>
      </c>
      <c r="F6">
        <f>'DCF Base'!F7</f>
        <v>0.23</v>
      </c>
      <c r="G6">
        <f>'DCF Base'!G7</f>
        <v>0.23</v>
      </c>
      <c r="H6">
        <f>'DCF Base'!H7</f>
        <v>0.23400000000000001</v>
      </c>
      <c r="I6">
        <f>'DCF Base'!I7</f>
        <v>0.23800000000000002</v>
      </c>
      <c r="J6">
        <f>'DCF Base'!J7</f>
        <v>0.24200000000000002</v>
      </c>
      <c r="K6">
        <f>'DCF Base'!K7</f>
        <v>0.24600000000000002</v>
      </c>
      <c r="L6">
        <f>'DCF Base'!L7</f>
        <v>0.25</v>
      </c>
    </row>
    <row r="7" spans="1:12" x14ac:dyDescent="0.35">
      <c r="A7" s="1" t="s">
        <v>142</v>
      </c>
      <c r="C7">
        <f t="shared" ref="C7:L7" si="0">(C4-C5)*(1-C6)</f>
        <v>-1.0354705358269187</v>
      </c>
      <c r="D7">
        <f t="shared" si="0"/>
        <v>18.293312799608898</v>
      </c>
      <c r="E7">
        <f t="shared" si="0"/>
        <v>38.781823135170868</v>
      </c>
      <c r="F7">
        <f t="shared" si="0"/>
        <v>41.108732523281127</v>
      </c>
      <c r="G7">
        <f t="shared" si="0"/>
        <v>43.575256474678</v>
      </c>
      <c r="H7">
        <f t="shared" si="0"/>
        <v>45.646382755795223</v>
      </c>
      <c r="I7">
        <f t="shared" si="0"/>
        <v>47.496789384167229</v>
      </c>
      <c r="J7">
        <f t="shared" si="0"/>
        <v>49.090113439597772</v>
      </c>
      <c r="K7">
        <f t="shared" si="0"/>
        <v>50.393656715735275</v>
      </c>
      <c r="L7">
        <f t="shared" si="0"/>
        <v>51.379474270850793</v>
      </c>
    </row>
    <row r="8" spans="1:12" x14ac:dyDescent="0.35">
      <c r="A8" s="1" t="s">
        <v>143</v>
      </c>
      <c r="C8">
        <f>'DCF Base'!C13</f>
        <v>0.93108655939308049</v>
      </c>
      <c r="D8">
        <f>'DCF Base'!D13</f>
        <v>0.86692218108244445</v>
      </c>
      <c r="E8">
        <f>'DCF Base'!E13</f>
        <v>0.80717959084559832</v>
      </c>
      <c r="F8">
        <f>'DCF Base'!F13</f>
        <v>0.75155406805274261</v>
      </c>
      <c r="G8">
        <f>'DCF Base'!G13</f>
        <v>0.69976189142110123</v>
      </c>
      <c r="H8">
        <f>'DCF Base'!H13</f>
        <v>0.65153889187766756</v>
      </c>
      <c r="I8">
        <f>'DCF Base'!I13</f>
        <v>0.60663910514915775</v>
      </c>
      <c r="J8">
        <f>'DCF Base'!J13</f>
        <v>0.56483351720662645</v>
      </c>
      <c r="K8">
        <f>'DCF Base'!K13</f>
        <v>0.52590889616581016</v>
      </c>
      <c r="L8">
        <f>'DCF Base'!L13</f>
        <v>0.48966670468523699</v>
      </c>
    </row>
    <row r="9" spans="1:12" x14ac:dyDescent="0.35">
      <c r="A9" s="1" t="s">
        <v>144</v>
      </c>
      <c r="C9">
        <f t="shared" ref="C9:L9" si="1">C7*C8</f>
        <v>-0.96411269855599524</v>
      </c>
      <c r="D9">
        <f t="shared" si="1"/>
        <v>15.858878631460344</v>
      </c>
      <c r="E9">
        <f t="shared" si="1"/>
        <v>31.30389613049358</v>
      </c>
      <c r="F9">
        <f t="shared" si="1"/>
        <v>30.895435160364016</v>
      </c>
      <c r="G9">
        <f t="shared" si="1"/>
        <v>30.492303889880265</v>
      </c>
      <c r="H9">
        <f t="shared" si="1"/>
        <v>29.740393638934691</v>
      </c>
      <c r="I9">
        <f t="shared" si="1"/>
        <v>28.813409809469224</v>
      </c>
      <c r="J9">
        <f t="shared" si="1"/>
        <v>27.727741434160293</v>
      </c>
      <c r="K9">
        <f t="shared" si="1"/>
        <v>26.502472377131106</v>
      </c>
      <c r="L9">
        <f t="shared" si="1"/>
        <v>25.158817854667426</v>
      </c>
    </row>
    <row r="10" spans="1:12" x14ac:dyDescent="0.35">
      <c r="A10" s="1" t="s">
        <v>145</v>
      </c>
      <c r="B10">
        <v>6.9767441860465115E-2</v>
      </c>
    </row>
    <row r="11" spans="1:12" x14ac:dyDescent="0.35">
      <c r="A11" s="1" t="s">
        <v>146</v>
      </c>
      <c r="B11">
        <v>1</v>
      </c>
    </row>
    <row r="12" spans="1:12" x14ac:dyDescent="0.35">
      <c r="A12" s="1" t="s">
        <v>147</v>
      </c>
      <c r="B12">
        <f>'DCF Base'!M3</f>
        <v>2.5000000000000001E-2</v>
      </c>
    </row>
    <row r="13" spans="1:12" x14ac:dyDescent="0.35">
      <c r="A13" s="1" t="s">
        <v>148</v>
      </c>
      <c r="B13">
        <f>'DCF Base'!M12</f>
        <v>7.4013999999999996E-2</v>
      </c>
    </row>
    <row r="14" spans="1:12" x14ac:dyDescent="0.35">
      <c r="A14" s="1" t="s">
        <v>149</v>
      </c>
      <c r="B14">
        <f>L4*(1+B12)*(1-'DCF Base'!M7)/(B13-B12)</f>
        <v>1074.467726111357</v>
      </c>
    </row>
    <row r="15" spans="1:12" x14ac:dyDescent="0.35">
      <c r="A15" s="1" t="s">
        <v>56</v>
      </c>
      <c r="B15">
        <f>B14*L8</f>
        <v>526.13107073558797</v>
      </c>
    </row>
    <row r="16" spans="1:12" x14ac:dyDescent="0.35">
      <c r="A16" s="1" t="s">
        <v>150</v>
      </c>
      <c r="B16">
        <f>SUM(C9:L9)</f>
        <v>245.52923622800498</v>
      </c>
    </row>
    <row r="17" spans="1:2" x14ac:dyDescent="0.35">
      <c r="A17" s="1" t="s">
        <v>151</v>
      </c>
      <c r="B17">
        <f>B16+B15</f>
        <v>771.66030696359292</v>
      </c>
    </row>
    <row r="18" spans="1:2" x14ac:dyDescent="0.35">
      <c r="A18" s="1" t="s">
        <v>152</v>
      </c>
      <c r="B18">
        <v>13.633262999999999</v>
      </c>
    </row>
    <row r="19" spans="1:2" x14ac:dyDescent="0.35">
      <c r="A19" s="1" t="s">
        <v>153</v>
      </c>
      <c r="B19">
        <f>B17/B18</f>
        <v>56.601292512554984</v>
      </c>
    </row>
    <row r="20" spans="1:2" x14ac:dyDescent="0.35">
      <c r="A20" s="1" t="s">
        <v>154</v>
      </c>
      <c r="B20">
        <f>'DCF Base'!B30</f>
        <v>126.29920921035679</v>
      </c>
    </row>
    <row r="21" spans="1:2" x14ac:dyDescent="0.35">
      <c r="A21" s="1" t="s">
        <v>155</v>
      </c>
      <c r="B21">
        <f>B20+B19</f>
        <v>182.90050172291177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6"/>
  <sheetViews>
    <sheetView workbookViewId="0"/>
  </sheetViews>
  <sheetFormatPr defaultRowHeight="14.5" x14ac:dyDescent="0.35"/>
  <sheetData>
    <row r="1" spans="1:15" x14ac:dyDescent="0.35">
      <c r="A1" s="1"/>
      <c r="B1" s="1" t="s">
        <v>156</v>
      </c>
      <c r="C1" s="1" t="s">
        <v>152</v>
      </c>
      <c r="D1" s="1" t="s">
        <v>157</v>
      </c>
      <c r="E1" s="1" t="s">
        <v>59</v>
      </c>
      <c r="F1" s="1" t="s">
        <v>60</v>
      </c>
      <c r="G1" s="1" t="s">
        <v>158</v>
      </c>
      <c r="H1" s="1" t="s">
        <v>159</v>
      </c>
      <c r="I1" s="1" t="s">
        <v>160</v>
      </c>
      <c r="J1" s="1" t="s">
        <v>161</v>
      </c>
      <c r="K1" s="1" t="s">
        <v>162</v>
      </c>
      <c r="L1" s="1" t="s">
        <v>163</v>
      </c>
      <c r="M1" s="1" t="s">
        <v>164</v>
      </c>
      <c r="N1" s="1" t="s">
        <v>165</v>
      </c>
      <c r="O1" s="1" t="s">
        <v>166</v>
      </c>
    </row>
    <row r="2" spans="1:15" x14ac:dyDescent="0.35">
      <c r="A2" s="1" t="s">
        <v>167</v>
      </c>
      <c r="B2">
        <v>93.160003662109375</v>
      </c>
      <c r="C2">
        <v>243.60869500000001</v>
      </c>
      <c r="D2">
        <f>B2*C2</f>
        <v>22694.586918321686</v>
      </c>
      <c r="E2">
        <v>2205.8000000000002</v>
      </c>
      <c r="F2">
        <v>923.2</v>
      </c>
      <c r="G2">
        <f>D2+E2-F2</f>
        <v>23977.186918321684</v>
      </c>
      <c r="H2">
        <v>6066</v>
      </c>
      <c r="I2">
        <v>722.2</v>
      </c>
      <c r="J2">
        <v>369.4</v>
      </c>
      <c r="K2">
        <v>239.4</v>
      </c>
      <c r="L2">
        <f>M2+K2</f>
        <v>1331</v>
      </c>
      <c r="M2">
        <f>I2+J2</f>
        <v>1091.5999999999999</v>
      </c>
      <c r="N2">
        <f>G2/L2</f>
        <v>18.014415415718769</v>
      </c>
      <c r="O2">
        <f>G2/M2</f>
        <v>21.965176729865963</v>
      </c>
    </row>
    <row r="3" spans="1:15" x14ac:dyDescent="0.35">
      <c r="A3" s="1" t="s">
        <v>168</v>
      </c>
      <c r="B3">
        <v>118.1999969482422</v>
      </c>
      <c r="C3">
        <v>122.309414</v>
      </c>
      <c r="D3">
        <f>B3*C3</f>
        <v>14456.972361541293</v>
      </c>
      <c r="E3">
        <v>2488</v>
      </c>
      <c r="F3">
        <v>167</v>
      </c>
      <c r="G3">
        <f>D3+E3-F3</f>
        <v>16777.972361541295</v>
      </c>
      <c r="H3">
        <v>7104</v>
      </c>
      <c r="I3">
        <v>1166</v>
      </c>
      <c r="J3">
        <v>118</v>
      </c>
      <c r="K3">
        <v>219</v>
      </c>
      <c r="L3">
        <f>M3+K3</f>
        <v>1503</v>
      </c>
      <c r="M3">
        <f>I3+J3</f>
        <v>1284</v>
      </c>
      <c r="N3">
        <f>G3/L3</f>
        <v>11.162988929834528</v>
      </c>
      <c r="O3">
        <f>G3/M3</f>
        <v>13.066956667867052</v>
      </c>
    </row>
    <row r="4" spans="1:15" x14ac:dyDescent="0.35">
      <c r="A4" s="1" t="s">
        <v>169</v>
      </c>
      <c r="B4">
        <v>27.559999465942379</v>
      </c>
      <c r="C4">
        <v>68.268535</v>
      </c>
      <c r="D4">
        <f>B4*C4</f>
        <v>1881.4807881406687</v>
      </c>
      <c r="E4">
        <v>3218.4</v>
      </c>
      <c r="F4">
        <v>171.1</v>
      </c>
      <c r="G4">
        <f>D4+E4-F4</f>
        <v>4928.7807881406679</v>
      </c>
      <c r="H4">
        <v>2925.6</v>
      </c>
      <c r="I4">
        <v>442</v>
      </c>
      <c r="J4">
        <v>73</v>
      </c>
      <c r="K4">
        <v>125.5</v>
      </c>
      <c r="L4">
        <f>M4+K4</f>
        <v>640.5</v>
      </c>
      <c r="M4">
        <f>I4+J4</f>
        <v>515</v>
      </c>
      <c r="N4">
        <f>G4/L4</f>
        <v>7.6952081001415582</v>
      </c>
      <c r="O4">
        <f>G4/M4</f>
        <v>9.5704481323119772</v>
      </c>
    </row>
    <row r="5" spans="1:15" x14ac:dyDescent="0.35">
      <c r="A5" s="1" t="s">
        <v>170</v>
      </c>
      <c r="B5">
        <v>125.30999755859381</v>
      </c>
      <c r="C5">
        <v>128.37626499999999</v>
      </c>
      <c r="D5">
        <f>B5*C5</f>
        <v>16086.82945373139</v>
      </c>
      <c r="E5">
        <v>2646.6129999999998</v>
      </c>
      <c r="F5">
        <v>302.137</v>
      </c>
      <c r="G5">
        <f>D5+E5-F5</f>
        <v>18431.305453731391</v>
      </c>
      <c r="H5">
        <v>7372.6440000000002</v>
      </c>
      <c r="I5">
        <v>889.303</v>
      </c>
      <c r="J5">
        <v>36.331000000000003</v>
      </c>
      <c r="K5">
        <v>193.84</v>
      </c>
      <c r="L5">
        <f>M5+K5</f>
        <v>1119.4739999999999</v>
      </c>
      <c r="M5">
        <f>I5+J5</f>
        <v>925.63400000000001</v>
      </c>
      <c r="N5">
        <f>G5/L5</f>
        <v>16.464255046326571</v>
      </c>
      <c r="O5">
        <f>G5/M5</f>
        <v>19.912087773062993</v>
      </c>
    </row>
    <row r="6" spans="1:15" x14ac:dyDescent="0.35">
      <c r="A6" s="1" t="s">
        <v>171</v>
      </c>
      <c r="B6">
        <v>145.07000732421881</v>
      </c>
      <c r="C6">
        <v>17.394618999999999</v>
      </c>
      <c r="D6">
        <f>B6*C6</f>
        <v>2523.4375057319953</v>
      </c>
      <c r="E6">
        <v>935.82</v>
      </c>
      <c r="F6">
        <v>201.91800000000001</v>
      </c>
      <c r="G6">
        <f>D6+E6-F6</f>
        <v>3257.3395057319954</v>
      </c>
      <c r="H6">
        <v>1832.674</v>
      </c>
      <c r="I6">
        <v>55.844999999999999</v>
      </c>
      <c r="J6">
        <v>116.57599999999999</v>
      </c>
      <c r="K6">
        <v>121.2805</v>
      </c>
      <c r="L6">
        <f>M6+K6</f>
        <v>293.70150000000001</v>
      </c>
      <c r="M6">
        <f>I6+J6</f>
        <v>172.42099999999999</v>
      </c>
      <c r="N6">
        <f>G6/L6</f>
        <v>11.090646475186526</v>
      </c>
      <c r="O6">
        <f>G6/M6</f>
        <v>18.891779456864278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11"/>
  <sheetViews>
    <sheetView workbookViewId="0"/>
  </sheetViews>
  <sheetFormatPr defaultRowHeight="14.5" x14ac:dyDescent="0.35"/>
  <sheetData>
    <row r="1" spans="1:4" x14ac:dyDescent="0.35">
      <c r="A1" s="1"/>
      <c r="B1" s="1" t="s">
        <v>172</v>
      </c>
      <c r="C1" s="1" t="s">
        <v>173</v>
      </c>
      <c r="D1" s="1" t="s">
        <v>174</v>
      </c>
    </row>
    <row r="2" spans="1:4" x14ac:dyDescent="0.35">
      <c r="A2" s="1" t="s">
        <v>175</v>
      </c>
      <c r="B2">
        <v>103.79300000000001</v>
      </c>
      <c r="C2">
        <v>103.79300000000001</v>
      </c>
      <c r="D2">
        <v>103.79300000000001</v>
      </c>
    </row>
    <row r="3" spans="1:4" x14ac:dyDescent="0.35">
      <c r="A3" s="1" t="s">
        <v>176</v>
      </c>
      <c r="B3">
        <v>8.1910000000000007</v>
      </c>
      <c r="C3">
        <v>8.1910000000000007</v>
      </c>
      <c r="D3">
        <v>8.1910000000000007</v>
      </c>
    </row>
    <row r="4" spans="1:4" x14ac:dyDescent="0.35">
      <c r="A4" s="1" t="s">
        <v>108</v>
      </c>
      <c r="B4">
        <f>B2+B3</f>
        <v>111.98400000000001</v>
      </c>
      <c r="C4">
        <f>C2+C3</f>
        <v>111.98400000000001</v>
      </c>
      <c r="D4">
        <f>D2+D3</f>
        <v>111.98400000000001</v>
      </c>
    </row>
    <row r="5" spans="1:4" x14ac:dyDescent="0.35">
      <c r="A5" s="1" t="s">
        <v>59</v>
      </c>
      <c r="B5">
        <v>86.995000000000005</v>
      </c>
      <c r="C5">
        <v>86.995000000000005</v>
      </c>
      <c r="D5">
        <v>86.995000000000005</v>
      </c>
    </row>
    <row r="6" spans="1:4" x14ac:dyDescent="0.35">
      <c r="A6" s="1" t="s">
        <v>60</v>
      </c>
      <c r="B6">
        <v>58.13</v>
      </c>
      <c r="C6">
        <v>58.13</v>
      </c>
      <c r="D6">
        <v>58.13</v>
      </c>
    </row>
    <row r="7" spans="1:4" x14ac:dyDescent="0.35">
      <c r="A7" s="1" t="s">
        <v>177</v>
      </c>
      <c r="B7">
        <v>13.633262999999999</v>
      </c>
      <c r="C7">
        <v>13.633262999999999</v>
      </c>
      <c r="D7">
        <v>13.633262999999999</v>
      </c>
    </row>
    <row r="8" spans="1:4" x14ac:dyDescent="0.35">
      <c r="A8" s="1" t="s">
        <v>178</v>
      </c>
      <c r="B8">
        <v>11.090646475186521</v>
      </c>
      <c r="C8">
        <v>11.162988929834521</v>
      </c>
      <c r="D8">
        <v>16.46425504632656</v>
      </c>
    </row>
    <row r="9" spans="1:4" x14ac:dyDescent="0.35">
      <c r="A9" s="1" t="s">
        <v>179</v>
      </c>
      <c r="B9">
        <f>B4*B8</f>
        <v>1241.9749548772875</v>
      </c>
      <c r="C9">
        <f>C4*C8</f>
        <v>1250.076152318589</v>
      </c>
      <c r="D9">
        <f>D4*D8</f>
        <v>1843.7331371078337</v>
      </c>
    </row>
    <row r="10" spans="1:4" x14ac:dyDescent="0.35">
      <c r="A10" s="1" t="s">
        <v>180</v>
      </c>
      <c r="B10">
        <f>B9-B5+B6</f>
        <v>1213.1099548772877</v>
      </c>
      <c r="C10">
        <f>C9-C5+C6</f>
        <v>1221.211152318589</v>
      </c>
      <c r="D10">
        <f>D9-D5+D6</f>
        <v>1814.8681371078337</v>
      </c>
    </row>
    <row r="11" spans="1:4" x14ac:dyDescent="0.35">
      <c r="A11" s="1" t="s">
        <v>67</v>
      </c>
      <c r="B11">
        <f>B10/B7</f>
        <v>88.981629333879042</v>
      </c>
      <c r="C11">
        <f>C10/C7</f>
        <v>89.575852260650223</v>
      </c>
      <c r="D11">
        <f>D10/D7</f>
        <v>133.12059901637883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8"/>
  <sheetViews>
    <sheetView workbookViewId="0"/>
  </sheetViews>
  <sheetFormatPr defaultRowHeight="14.5" x14ac:dyDescent="0.35"/>
  <sheetData>
    <row r="1" spans="1:9" x14ac:dyDescent="0.35">
      <c r="A1" s="1"/>
      <c r="B1" s="1" t="s">
        <v>188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193</v>
      </c>
      <c r="H1" s="1" t="s">
        <v>194</v>
      </c>
      <c r="I1" s="1" t="s">
        <v>195</v>
      </c>
    </row>
    <row r="2" spans="1:9" x14ac:dyDescent="0.35">
      <c r="A2" s="1" t="s">
        <v>196</v>
      </c>
      <c r="B2" t="s">
        <v>181</v>
      </c>
      <c r="C2">
        <v>1250</v>
      </c>
      <c r="D2">
        <v>117</v>
      </c>
      <c r="E2">
        <f t="shared" ref="E2:E8" si="0">C2/D2</f>
        <v>10.683760683760683</v>
      </c>
      <c r="F2">
        <v>465</v>
      </c>
      <c r="G2">
        <v>15</v>
      </c>
      <c r="H2">
        <f>G2/F2</f>
        <v>3.2258064516129031E-2</v>
      </c>
      <c r="I2">
        <v>1</v>
      </c>
    </row>
    <row r="3" spans="1:9" x14ac:dyDescent="0.35">
      <c r="A3" s="1" t="s">
        <v>197</v>
      </c>
      <c r="B3" t="s">
        <v>182</v>
      </c>
      <c r="C3">
        <v>1420</v>
      </c>
      <c r="D3">
        <v>120</v>
      </c>
      <c r="E3">
        <f t="shared" si="0"/>
        <v>11.833333333333334</v>
      </c>
      <c r="F3">
        <v>767</v>
      </c>
      <c r="G3">
        <v>45</v>
      </c>
      <c r="H3">
        <f>G3/F3</f>
        <v>5.867014341590613E-2</v>
      </c>
      <c r="I3">
        <v>1</v>
      </c>
    </row>
    <row r="4" spans="1:9" x14ac:dyDescent="0.35">
      <c r="A4" s="1" t="s">
        <v>198</v>
      </c>
      <c r="B4" t="s">
        <v>183</v>
      </c>
      <c r="C4">
        <v>1000</v>
      </c>
      <c r="D4">
        <v>80</v>
      </c>
      <c r="E4">
        <f t="shared" si="0"/>
        <v>12.5</v>
      </c>
      <c r="F4">
        <v>265</v>
      </c>
      <c r="G4">
        <v>10</v>
      </c>
      <c r="H4">
        <f>G4/F4</f>
        <v>3.7735849056603772E-2</v>
      </c>
      <c r="I4">
        <v>1</v>
      </c>
    </row>
    <row r="5" spans="1:9" x14ac:dyDescent="0.35">
      <c r="A5" s="1" t="s">
        <v>199</v>
      </c>
      <c r="B5" t="s">
        <v>184</v>
      </c>
      <c r="C5">
        <v>2650</v>
      </c>
      <c r="D5">
        <v>317</v>
      </c>
      <c r="E5">
        <f t="shared" si="0"/>
        <v>8.3596214511041005</v>
      </c>
      <c r="F5">
        <v>1760</v>
      </c>
      <c r="I5">
        <v>1</v>
      </c>
    </row>
    <row r="6" spans="1:9" x14ac:dyDescent="0.35">
      <c r="A6" s="1" t="s">
        <v>200</v>
      </c>
      <c r="B6" t="s">
        <v>185</v>
      </c>
      <c r="C6">
        <v>580</v>
      </c>
      <c r="D6">
        <v>27</v>
      </c>
      <c r="E6">
        <f t="shared" si="0"/>
        <v>21.481481481481481</v>
      </c>
      <c r="F6">
        <v>86</v>
      </c>
      <c r="G6">
        <v>6</v>
      </c>
      <c r="H6">
        <f>G6/F6</f>
        <v>6.9767441860465115E-2</v>
      </c>
      <c r="I6">
        <v>1</v>
      </c>
    </row>
    <row r="7" spans="1:9" x14ac:dyDescent="0.35">
      <c r="A7" s="1" t="s">
        <v>201</v>
      </c>
      <c r="B7" t="s">
        <v>186</v>
      </c>
      <c r="C7">
        <v>692</v>
      </c>
      <c r="D7">
        <v>63</v>
      </c>
      <c r="E7">
        <f t="shared" si="0"/>
        <v>10.984126984126984</v>
      </c>
      <c r="F7">
        <v>700</v>
      </c>
      <c r="I7">
        <v>0</v>
      </c>
    </row>
    <row r="8" spans="1:9" x14ac:dyDescent="0.35">
      <c r="A8" s="1" t="s">
        <v>202</v>
      </c>
      <c r="B8" t="s">
        <v>187</v>
      </c>
      <c r="C8">
        <v>1400</v>
      </c>
      <c r="D8">
        <v>140</v>
      </c>
      <c r="E8">
        <f t="shared" si="0"/>
        <v>10</v>
      </c>
      <c r="F8">
        <v>440</v>
      </c>
      <c r="I8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9"/>
  <sheetViews>
    <sheetView workbookViewId="0"/>
  </sheetViews>
  <sheetFormatPr defaultRowHeight="14.5" x14ac:dyDescent="0.35"/>
  <sheetData>
    <row r="1" spans="1:4" x14ac:dyDescent="0.35">
      <c r="A1" s="1"/>
      <c r="B1" s="1" t="s">
        <v>172</v>
      </c>
      <c r="C1" s="1" t="s">
        <v>173</v>
      </c>
      <c r="D1" s="1" t="s">
        <v>174</v>
      </c>
    </row>
    <row r="2" spans="1:4" x14ac:dyDescent="0.35">
      <c r="A2" s="1" t="s">
        <v>108</v>
      </c>
      <c r="B2">
        <v>111.98399999999999</v>
      </c>
      <c r="C2">
        <v>111.98399999999999</v>
      </c>
      <c r="D2">
        <v>111.98399999999999</v>
      </c>
    </row>
    <row r="3" spans="1:4" x14ac:dyDescent="0.35">
      <c r="A3" s="1" t="s">
        <v>59</v>
      </c>
      <c r="B3">
        <v>86.995000000000005</v>
      </c>
      <c r="C3">
        <v>86.995000000000005</v>
      </c>
      <c r="D3">
        <v>86.995000000000005</v>
      </c>
    </row>
    <row r="4" spans="1:4" x14ac:dyDescent="0.35">
      <c r="A4" s="1" t="s">
        <v>60</v>
      </c>
      <c r="B4">
        <v>58.13</v>
      </c>
      <c r="C4">
        <v>58.13</v>
      </c>
      <c r="D4">
        <v>58.13</v>
      </c>
    </row>
    <row r="5" spans="1:4" x14ac:dyDescent="0.35">
      <c r="A5" s="1" t="s">
        <v>177</v>
      </c>
      <c r="B5">
        <v>13.633262999999999</v>
      </c>
      <c r="C5">
        <v>13.633262999999999</v>
      </c>
      <c r="D5">
        <v>13.633262999999999</v>
      </c>
    </row>
    <row r="6" spans="1:4" x14ac:dyDescent="0.35">
      <c r="A6" s="1" t="s">
        <v>203</v>
      </c>
      <c r="B6">
        <v>10.68376068376068</v>
      </c>
      <c r="C6">
        <v>11.83333333333333</v>
      </c>
      <c r="D6">
        <v>12.5</v>
      </c>
    </row>
    <row r="7" spans="1:4" x14ac:dyDescent="0.35">
      <c r="A7" s="1" t="s">
        <v>179</v>
      </c>
      <c r="B7">
        <f>B2*B6</f>
        <v>1196.4102564102559</v>
      </c>
      <c r="C7">
        <f>C2*C6</f>
        <v>1325.1439999999996</v>
      </c>
      <c r="D7">
        <f>D2*D6</f>
        <v>1399.8</v>
      </c>
    </row>
    <row r="8" spans="1:4" x14ac:dyDescent="0.35">
      <c r="A8" s="1" t="s">
        <v>180</v>
      </c>
      <c r="B8">
        <f>B7-B3+B4</f>
        <v>1167.5452564102561</v>
      </c>
      <c r="C8">
        <f>C7-C3+C4</f>
        <v>1296.2789999999995</v>
      </c>
      <c r="D8">
        <f>D7-D3+D4</f>
        <v>1370.9349999999999</v>
      </c>
    </row>
    <row r="9" spans="1:4" x14ac:dyDescent="0.35">
      <c r="A9" s="1" t="s">
        <v>67</v>
      </c>
      <c r="B9">
        <f>B8/B5</f>
        <v>85.639458170084168</v>
      </c>
      <c r="C9">
        <f>C8/C5</f>
        <v>95.082079763296548</v>
      </c>
      <c r="D9">
        <f>D8/D5</f>
        <v>100.55809823370971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Scenario inputs</vt:lpstr>
      <vt:lpstr>DCF Original</vt:lpstr>
      <vt:lpstr>DCF Bear</vt:lpstr>
      <vt:lpstr>DCF Base</vt:lpstr>
      <vt:lpstr>DCF Bull</vt:lpstr>
      <vt:lpstr>EVA Original</vt:lpstr>
      <vt:lpstr>EVA Bear</vt:lpstr>
      <vt:lpstr>EVA Base</vt:lpstr>
      <vt:lpstr>EVA Bull</vt:lpstr>
      <vt:lpstr>DDM Bear</vt:lpstr>
      <vt:lpstr>DDM Base</vt:lpstr>
      <vt:lpstr>DDM Bull</vt:lpstr>
      <vt:lpstr>LBO Bear</vt:lpstr>
      <vt:lpstr>LBO Base</vt:lpstr>
      <vt:lpstr>LBO Bull</vt:lpstr>
      <vt:lpstr>Synergies Bear</vt:lpstr>
      <vt:lpstr>Synergies Base</vt:lpstr>
      <vt:lpstr>Synergies Bull</vt:lpstr>
      <vt:lpstr>Comps peers</vt:lpstr>
      <vt:lpstr>Comps valuation</vt:lpstr>
      <vt:lpstr>Precedent deals</vt:lpstr>
      <vt:lpstr>Precedent 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Asus</cp:lastModifiedBy>
  <dcterms:created xsi:type="dcterms:W3CDTF">2026-10-29T08:20:42Z</dcterms:created>
  <dcterms:modified xsi:type="dcterms:W3CDTF">2026-10-29T08:20:49Z</dcterms:modified>
</cp:coreProperties>
</file>