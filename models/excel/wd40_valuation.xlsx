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709FA7D1-AD82-4C29-890F-0A990A72DB47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2" l="1"/>
  <c r="D8" i="22" s="1"/>
  <c r="D9" i="22" s="1"/>
  <c r="C7" i="22"/>
  <c r="C8" i="22" s="1"/>
  <c r="C9" i="22" s="1"/>
  <c r="B7" i="22"/>
  <c r="B8" i="22" s="1"/>
  <c r="B9" i="22" s="1"/>
  <c r="E8" i="21"/>
  <c r="E7" i="21"/>
  <c r="H6" i="21"/>
  <c r="E6" i="21"/>
  <c r="E5" i="21"/>
  <c r="H4" i="21"/>
  <c r="E4" i="21"/>
  <c r="H3" i="21"/>
  <c r="E3" i="21"/>
  <c r="H2" i="21"/>
  <c r="E2" i="21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B11" i="20" s="1"/>
  <c r="M6" i="19"/>
  <c r="L6" i="19" s="1"/>
  <c r="D6" i="19"/>
  <c r="G6" i="19" s="1"/>
  <c r="M5" i="19"/>
  <c r="L5" i="19"/>
  <c r="D5" i="19"/>
  <c r="G5" i="19" s="1"/>
  <c r="M4" i="19"/>
  <c r="L4" i="19" s="1"/>
  <c r="D4" i="19"/>
  <c r="G4" i="19" s="1"/>
  <c r="M3" i="19"/>
  <c r="L3" i="19" s="1"/>
  <c r="D3" i="19"/>
  <c r="G3" i="19" s="1"/>
  <c r="M2" i="19"/>
  <c r="L2" i="19"/>
  <c r="D2" i="19"/>
  <c r="G2" i="19" s="1"/>
  <c r="B30" i="15"/>
  <c r="B19" i="15"/>
  <c r="B15" i="15"/>
  <c r="B12" i="15"/>
  <c r="B29" i="15" s="1"/>
  <c r="B4" i="15"/>
  <c r="B30" i="14"/>
  <c r="C24" i="14"/>
  <c r="B19" i="14"/>
  <c r="B15" i="14"/>
  <c r="B12" i="14"/>
  <c r="B29" i="14" s="1"/>
  <c r="B4" i="14"/>
  <c r="B8" i="14" s="1"/>
  <c r="B18" i="14" s="1"/>
  <c r="B20" i="14" s="1"/>
  <c r="B30" i="13"/>
  <c r="B19" i="13"/>
  <c r="B15" i="13"/>
  <c r="B12" i="13"/>
  <c r="B29" i="13" s="1"/>
  <c r="B4" i="13"/>
  <c r="B12" i="12"/>
  <c r="L6" i="12"/>
  <c r="K6" i="12"/>
  <c r="J6" i="12"/>
  <c r="I6" i="12"/>
  <c r="H6" i="12"/>
  <c r="G6" i="12"/>
  <c r="F6" i="12"/>
  <c r="E6" i="12"/>
  <c r="D6" i="12"/>
  <c r="C6" i="12"/>
  <c r="C4" i="12"/>
  <c r="D4" i="12" s="1"/>
  <c r="E4" i="12" s="1"/>
  <c r="F4" i="12" s="1"/>
  <c r="G4" i="12" s="1"/>
  <c r="H4" i="12" s="1"/>
  <c r="I4" i="12" s="1"/>
  <c r="J4" i="12" s="1"/>
  <c r="K4" i="12" s="1"/>
  <c r="L4" i="12" s="1"/>
  <c r="B4" i="12"/>
  <c r="C3" i="12"/>
  <c r="D3" i="12" s="1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D3" i="11"/>
  <c r="E3" i="11" s="1"/>
  <c r="C3" i="11"/>
  <c r="B12" i="10"/>
  <c r="L6" i="10"/>
  <c r="K6" i="10"/>
  <c r="J6" i="10"/>
  <c r="I6" i="10"/>
  <c r="H6" i="10"/>
  <c r="G6" i="10"/>
  <c r="F6" i="10"/>
  <c r="E6" i="10"/>
  <c r="D6" i="10"/>
  <c r="C6" i="10"/>
  <c r="B4" i="10"/>
  <c r="C4" i="10" s="1"/>
  <c r="D4" i="10" s="1"/>
  <c r="E4" i="10" s="1"/>
  <c r="F4" i="10" s="1"/>
  <c r="G4" i="10" s="1"/>
  <c r="H4" i="10" s="1"/>
  <c r="I4" i="10" s="1"/>
  <c r="J4" i="10" s="1"/>
  <c r="K4" i="10" s="1"/>
  <c r="L4" i="10" s="1"/>
  <c r="C3" i="10"/>
  <c r="C5" i="10" s="1"/>
  <c r="C7" i="10" s="1"/>
  <c r="G4" i="9"/>
  <c r="F4" i="9"/>
  <c r="B14" i="8"/>
  <c r="B9" i="8"/>
  <c r="C3" i="8"/>
  <c r="D4" i="6"/>
  <c r="B29" i="5"/>
  <c r="B27" i="5"/>
  <c r="B25" i="5"/>
  <c r="B24" i="5"/>
  <c r="B23" i="5"/>
  <c r="B22" i="5"/>
  <c r="B17" i="5"/>
  <c r="B14" i="9" s="1"/>
  <c r="B15" i="5"/>
  <c r="C13" i="5"/>
  <c r="C7" i="9" s="1"/>
  <c r="M12" i="5"/>
  <c r="B12" i="9" s="1"/>
  <c r="G12" i="5"/>
  <c r="H12" i="5" s="1"/>
  <c r="F12" i="5"/>
  <c r="E12" i="5"/>
  <c r="E4" i="9" s="1"/>
  <c r="D12" i="5"/>
  <c r="D4" i="9" s="1"/>
  <c r="C12" i="5"/>
  <c r="C4" i="9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L5" i="5"/>
  <c r="M5" i="5" s="1"/>
  <c r="K5" i="5"/>
  <c r="J5" i="5"/>
  <c r="I5" i="5"/>
  <c r="H5" i="5"/>
  <c r="C5" i="5"/>
  <c r="G5" i="5" s="1"/>
  <c r="B4" i="5"/>
  <c r="M3" i="5"/>
  <c r="G3" i="5"/>
  <c r="J3" i="5" s="1"/>
  <c r="F3" i="5"/>
  <c r="E3" i="5"/>
  <c r="D3" i="5"/>
  <c r="C3" i="5"/>
  <c r="C4" i="5" s="1"/>
  <c r="D4" i="5" s="1"/>
  <c r="B29" i="4"/>
  <c r="B27" i="4"/>
  <c r="B25" i="4"/>
  <c r="B24" i="4"/>
  <c r="B23" i="4"/>
  <c r="B22" i="4"/>
  <c r="B17" i="4"/>
  <c r="B15" i="4"/>
  <c r="M12" i="4"/>
  <c r="B13" i="17" s="1"/>
  <c r="G12" i="4"/>
  <c r="F12" i="4"/>
  <c r="F4" i="8" s="1"/>
  <c r="E12" i="4"/>
  <c r="E4" i="8" s="1"/>
  <c r="D12" i="4"/>
  <c r="D4" i="8" s="1"/>
  <c r="C12" i="4"/>
  <c r="L9" i="4"/>
  <c r="K9" i="4"/>
  <c r="J9" i="4"/>
  <c r="I9" i="4"/>
  <c r="H9" i="4"/>
  <c r="G9" i="4"/>
  <c r="F9" i="4"/>
  <c r="E9" i="4"/>
  <c r="D9" i="4"/>
  <c r="C9" i="4"/>
  <c r="M7" i="4"/>
  <c r="B7" i="4"/>
  <c r="C7" i="4" s="1"/>
  <c r="D7" i="4" s="1"/>
  <c r="B6" i="4"/>
  <c r="L5" i="4"/>
  <c r="K5" i="4"/>
  <c r="J5" i="4"/>
  <c r="I5" i="4"/>
  <c r="H5" i="4"/>
  <c r="C5" i="4"/>
  <c r="F5" i="4" s="1"/>
  <c r="B4" i="4"/>
  <c r="M3" i="4"/>
  <c r="G3" i="4"/>
  <c r="F3" i="4"/>
  <c r="E3" i="4"/>
  <c r="D3" i="4"/>
  <c r="C3" i="4"/>
  <c r="C4" i="4" s="1"/>
  <c r="B29" i="3"/>
  <c r="B27" i="3"/>
  <c r="B25" i="3"/>
  <c r="B24" i="3"/>
  <c r="B23" i="3"/>
  <c r="B22" i="3"/>
  <c r="B15" i="3"/>
  <c r="B9" i="7" s="1"/>
  <c r="M12" i="3"/>
  <c r="H12" i="3" s="1"/>
  <c r="G12" i="3"/>
  <c r="G4" i="7" s="1"/>
  <c r="F12" i="3"/>
  <c r="F4" i="7" s="1"/>
  <c r="E12" i="3"/>
  <c r="E4" i="7" s="1"/>
  <c r="D12" i="3"/>
  <c r="D4" i="7" s="1"/>
  <c r="C12" i="3"/>
  <c r="C13" i="3" s="1"/>
  <c r="L9" i="3"/>
  <c r="K9" i="3"/>
  <c r="J9" i="3"/>
  <c r="I9" i="3"/>
  <c r="H9" i="3"/>
  <c r="G9" i="3"/>
  <c r="F9" i="3"/>
  <c r="E9" i="3"/>
  <c r="D9" i="3"/>
  <c r="C9" i="3"/>
  <c r="B8" i="3"/>
  <c r="M7" i="3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B6" i="3"/>
  <c r="L5" i="3"/>
  <c r="M5" i="3" s="1"/>
  <c r="K5" i="3"/>
  <c r="J5" i="3"/>
  <c r="I5" i="3"/>
  <c r="H5" i="3"/>
  <c r="C5" i="3"/>
  <c r="F5" i="3" s="1"/>
  <c r="B4" i="3"/>
  <c r="C4" i="3" s="1"/>
  <c r="M3" i="3"/>
  <c r="K3" i="3" s="1"/>
  <c r="G3" i="3"/>
  <c r="F3" i="3"/>
  <c r="E3" i="3"/>
  <c r="D3" i="3"/>
  <c r="C3" i="3"/>
  <c r="B29" i="2"/>
  <c r="B27" i="2"/>
  <c r="B25" i="2"/>
  <c r="B24" i="2"/>
  <c r="B23" i="2"/>
  <c r="B22" i="2"/>
  <c r="B15" i="2"/>
  <c r="M12" i="2"/>
  <c r="B12" i="6" s="1"/>
  <c r="H12" i="2"/>
  <c r="H4" i="6" s="1"/>
  <c r="G12" i="2"/>
  <c r="G4" i="6" s="1"/>
  <c r="F12" i="2"/>
  <c r="F4" i="6" s="1"/>
  <c r="E12" i="2"/>
  <c r="E4" i="6" s="1"/>
  <c r="D12" i="2"/>
  <c r="C12" i="2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B6" i="2"/>
  <c r="L5" i="2"/>
  <c r="M5" i="2" s="1"/>
  <c r="K5" i="2"/>
  <c r="J5" i="2"/>
  <c r="I5" i="2"/>
  <c r="H5" i="2"/>
  <c r="C5" i="2"/>
  <c r="E5" i="2" s="1"/>
  <c r="B4" i="2"/>
  <c r="M3" i="2"/>
  <c r="B13" i="6" s="1"/>
  <c r="G3" i="2"/>
  <c r="J3" i="2" s="1"/>
  <c r="F3" i="2"/>
  <c r="E3" i="2"/>
  <c r="D3" i="2"/>
  <c r="C3" i="2"/>
  <c r="C2" i="18" l="1"/>
  <c r="C4" i="18" s="1"/>
  <c r="C2" i="17"/>
  <c r="C4" i="17" s="1"/>
  <c r="D4" i="4"/>
  <c r="E4" i="4" s="1"/>
  <c r="E21" i="14" s="1"/>
  <c r="N3" i="19"/>
  <c r="O3" i="19"/>
  <c r="H4" i="9"/>
  <c r="I12" i="5"/>
  <c r="D5" i="5"/>
  <c r="O4" i="19"/>
  <c r="D3" i="10"/>
  <c r="D5" i="10" s="1"/>
  <c r="D7" i="10" s="1"/>
  <c r="D5" i="4"/>
  <c r="C24" i="13"/>
  <c r="G5" i="3"/>
  <c r="G5" i="4"/>
  <c r="C4" i="2"/>
  <c r="D4" i="2" s="1"/>
  <c r="K3" i="5"/>
  <c r="C3" i="7"/>
  <c r="I3" i="5"/>
  <c r="L3" i="5"/>
  <c r="C6" i="4"/>
  <c r="L3" i="3"/>
  <c r="L3" i="4"/>
  <c r="B12" i="7"/>
  <c r="B8" i="2"/>
  <c r="B16" i="2" s="1"/>
  <c r="H3" i="3"/>
  <c r="B13" i="7"/>
  <c r="D5" i="3"/>
  <c r="H7" i="2"/>
  <c r="I7" i="2" s="1"/>
  <c r="J7" i="2" s="1"/>
  <c r="K7" i="2" s="1"/>
  <c r="L7" i="2" s="1"/>
  <c r="B16" i="3"/>
  <c r="E2" i="16"/>
  <c r="E4" i="16" s="1"/>
  <c r="D10" i="4"/>
  <c r="F4" i="4"/>
  <c r="F6" i="4" s="1"/>
  <c r="E2" i="18"/>
  <c r="E4" i="18" s="1"/>
  <c r="E21" i="15"/>
  <c r="E21" i="13"/>
  <c r="E2" i="17"/>
  <c r="E4" i="17" s="1"/>
  <c r="D4" i="3"/>
  <c r="C6" i="3"/>
  <c r="C8" i="3" s="1"/>
  <c r="D6" i="17"/>
  <c r="E7" i="4"/>
  <c r="D25" i="15"/>
  <c r="D25" i="14"/>
  <c r="D6" i="18"/>
  <c r="D6" i="16"/>
  <c r="D25" i="13"/>
  <c r="C10" i="5"/>
  <c r="C15" i="5" s="1"/>
  <c r="E4" i="5"/>
  <c r="K3" i="4"/>
  <c r="M5" i="4"/>
  <c r="B5" i="4"/>
  <c r="B8" i="4"/>
  <c r="B16" i="4" s="1"/>
  <c r="O5" i="19"/>
  <c r="N5" i="19"/>
  <c r="C3" i="6"/>
  <c r="B9" i="6"/>
  <c r="B12" i="16"/>
  <c r="B12" i="18"/>
  <c r="B13" i="8"/>
  <c r="B12" i="17"/>
  <c r="I12" i="2"/>
  <c r="B8" i="15"/>
  <c r="B10" i="15" s="1"/>
  <c r="E3" i="12"/>
  <c r="D5" i="12"/>
  <c r="D7" i="12" s="1"/>
  <c r="O2" i="19"/>
  <c r="N2" i="19"/>
  <c r="F5" i="2"/>
  <c r="C13" i="2"/>
  <c r="C4" i="6"/>
  <c r="I12" i="3"/>
  <c r="H4" i="7"/>
  <c r="B5" i="2"/>
  <c r="C5" i="11"/>
  <c r="C7" i="11" s="1"/>
  <c r="D4" i="11"/>
  <c r="C8" i="4"/>
  <c r="B5" i="3"/>
  <c r="H3" i="2"/>
  <c r="K3" i="2"/>
  <c r="G4" i="8"/>
  <c r="H12" i="4"/>
  <c r="D5" i="2"/>
  <c r="C25" i="15"/>
  <c r="C6" i="16"/>
  <c r="C6" i="17"/>
  <c r="C25" i="14"/>
  <c r="C26" i="14" s="1"/>
  <c r="C6" i="18"/>
  <c r="I3" i="2"/>
  <c r="C4" i="7"/>
  <c r="C5" i="7" s="1"/>
  <c r="D21" i="14"/>
  <c r="C7" i="7"/>
  <c r="D13" i="3"/>
  <c r="C4" i="8"/>
  <c r="C5" i="8" s="1"/>
  <c r="C13" i="4"/>
  <c r="C3" i="9"/>
  <c r="B9" i="9"/>
  <c r="D2" i="16"/>
  <c r="D2" i="17"/>
  <c r="D21" i="15"/>
  <c r="D2" i="18"/>
  <c r="C10" i="4"/>
  <c r="C15" i="4" s="1"/>
  <c r="D21" i="13"/>
  <c r="G5" i="2"/>
  <c r="L3" i="2"/>
  <c r="B8" i="5"/>
  <c r="B16" i="5" s="1"/>
  <c r="B5" i="5"/>
  <c r="C25" i="13"/>
  <c r="C26" i="13" s="1"/>
  <c r="C21" i="13"/>
  <c r="C22" i="13" s="1"/>
  <c r="O6" i="19"/>
  <c r="N6" i="19"/>
  <c r="C5" i="12"/>
  <c r="C7" i="12" s="1"/>
  <c r="B12" i="8"/>
  <c r="C24" i="15"/>
  <c r="F5" i="5"/>
  <c r="E5" i="5"/>
  <c r="C6" i="5"/>
  <c r="C8" i="5" s="1"/>
  <c r="D6" i="5"/>
  <c r="D8" i="5" s="1"/>
  <c r="B10" i="14"/>
  <c r="C21" i="15"/>
  <c r="C22" i="15" s="1"/>
  <c r="C2" i="16"/>
  <c r="C4" i="16" s="1"/>
  <c r="I3" i="3"/>
  <c r="D13" i="5"/>
  <c r="J3" i="3"/>
  <c r="B13" i="16"/>
  <c r="B13" i="18"/>
  <c r="I3" i="4"/>
  <c r="F3" i="11"/>
  <c r="B8" i="13"/>
  <c r="B10" i="13" s="1"/>
  <c r="E5" i="3"/>
  <c r="H3" i="4"/>
  <c r="E5" i="4"/>
  <c r="E6" i="4" s="1"/>
  <c r="D6" i="4"/>
  <c r="J3" i="4"/>
  <c r="C5" i="9"/>
  <c r="C21" i="14"/>
  <c r="C22" i="14" s="1"/>
  <c r="N4" i="19"/>
  <c r="B13" i="9"/>
  <c r="H3" i="5"/>
  <c r="C5" i="6" l="1"/>
  <c r="C6" i="2"/>
  <c r="C8" i="2" s="1"/>
  <c r="I4" i="9"/>
  <c r="J12" i="5"/>
  <c r="D6" i="2"/>
  <c r="D8" i="2" s="1"/>
  <c r="E3" i="10"/>
  <c r="E5" i="10" s="1"/>
  <c r="E7" i="10" s="1"/>
  <c r="B18" i="13"/>
  <c r="B20" i="13" s="1"/>
  <c r="D3" i="9"/>
  <c r="D5" i="9" s="1"/>
  <c r="E25" i="14"/>
  <c r="E25" i="13"/>
  <c r="E6" i="16"/>
  <c r="E7" i="16" s="1"/>
  <c r="E6" i="18"/>
  <c r="E7" i="18" s="1"/>
  <c r="E6" i="17"/>
  <c r="E7" i="17" s="1"/>
  <c r="E25" i="15"/>
  <c r="F7" i="4"/>
  <c r="F8" i="4" s="1"/>
  <c r="I12" i="4"/>
  <c r="H4" i="8"/>
  <c r="C10" i="2"/>
  <c r="C15" i="2" s="1"/>
  <c r="E4" i="2"/>
  <c r="D5" i="11"/>
  <c r="D7" i="11" s="1"/>
  <c r="E4" i="11"/>
  <c r="D22" i="14"/>
  <c r="D22" i="13"/>
  <c r="D22" i="15"/>
  <c r="D8" i="4"/>
  <c r="I4" i="6"/>
  <c r="J12" i="2"/>
  <c r="E13" i="3"/>
  <c r="D7" i="7"/>
  <c r="C8" i="17"/>
  <c r="C7" i="8"/>
  <c r="C8" i="18"/>
  <c r="D13" i="4"/>
  <c r="C8" i="16"/>
  <c r="B18" i="15"/>
  <c r="B20" i="15" s="1"/>
  <c r="D7" i="9"/>
  <c r="E13" i="5"/>
  <c r="C2" i="6"/>
  <c r="C6" i="6" s="1"/>
  <c r="C16" i="2"/>
  <c r="C7" i="6"/>
  <c r="D13" i="2"/>
  <c r="C2" i="9"/>
  <c r="C6" i="9" s="1"/>
  <c r="C8" i="9" s="1"/>
  <c r="C16" i="5"/>
  <c r="C11" i="5"/>
  <c r="C14" i="5" s="1"/>
  <c r="D2" i="6"/>
  <c r="D16" i="5"/>
  <c r="D2" i="9"/>
  <c r="D6" i="9" s="1"/>
  <c r="C10" i="3"/>
  <c r="C15" i="3" s="1"/>
  <c r="E4" i="3"/>
  <c r="D4" i="17"/>
  <c r="D5" i="17"/>
  <c r="C5" i="17"/>
  <c r="C7" i="17" s="1"/>
  <c r="F4" i="5"/>
  <c r="D10" i="5"/>
  <c r="D15" i="5" s="1"/>
  <c r="D4" i="16"/>
  <c r="D5" i="16"/>
  <c r="C5" i="16"/>
  <c r="C7" i="16" s="1"/>
  <c r="E22" i="15"/>
  <c r="E22" i="13"/>
  <c r="E8" i="4"/>
  <c r="E22" i="14"/>
  <c r="J12" i="3"/>
  <c r="I4" i="7"/>
  <c r="C26" i="15"/>
  <c r="C16" i="4"/>
  <c r="C11" i="4"/>
  <c r="C2" i="8"/>
  <c r="C6" i="8" s="1"/>
  <c r="F2" i="18"/>
  <c r="F4" i="18" s="1"/>
  <c r="G4" i="4"/>
  <c r="F21" i="13"/>
  <c r="F22" i="13" s="1"/>
  <c r="F21" i="15"/>
  <c r="F22" i="15" s="1"/>
  <c r="F2" i="16"/>
  <c r="F4" i="16" s="1"/>
  <c r="F2" i="17"/>
  <c r="F4" i="17" s="1"/>
  <c r="F21" i="14"/>
  <c r="F22" i="14" s="1"/>
  <c r="E10" i="4"/>
  <c r="F3" i="10"/>
  <c r="C2" i="7"/>
  <c r="C6" i="7" s="1"/>
  <c r="C8" i="7" s="1"/>
  <c r="C16" i="3"/>
  <c r="D3" i="8"/>
  <c r="D5" i="8" s="1"/>
  <c r="D15" i="4"/>
  <c r="G3" i="11"/>
  <c r="C5" i="18"/>
  <c r="C7" i="18" s="1"/>
  <c r="D4" i="18"/>
  <c r="D5" i="18"/>
  <c r="E6" i="5"/>
  <c r="E8" i="5" s="1"/>
  <c r="D6" i="3"/>
  <c r="D8" i="3" s="1"/>
  <c r="E5" i="12"/>
  <c r="E7" i="12" s="1"/>
  <c r="F3" i="12"/>
  <c r="C8" i="8" l="1"/>
  <c r="J4" i="9"/>
  <c r="K12" i="5"/>
  <c r="D7" i="16"/>
  <c r="C11" i="3"/>
  <c r="C14" i="3" s="1"/>
  <c r="F2" i="8"/>
  <c r="E15" i="5"/>
  <c r="E3" i="9"/>
  <c r="E5" i="9" s="1"/>
  <c r="E15" i="4"/>
  <c r="E3" i="8"/>
  <c r="E5" i="8" s="1"/>
  <c r="F5" i="12"/>
  <c r="F7" i="12" s="1"/>
  <c r="G3" i="12"/>
  <c r="D8" i="17"/>
  <c r="D8" i="16"/>
  <c r="D9" i="16" s="1"/>
  <c r="E13" i="4"/>
  <c r="D7" i="8"/>
  <c r="D8" i="18"/>
  <c r="G4" i="5"/>
  <c r="E10" i="5"/>
  <c r="C9" i="16"/>
  <c r="J12" i="4"/>
  <c r="I4" i="8"/>
  <c r="J4" i="7"/>
  <c r="K12" i="3"/>
  <c r="C23" i="15"/>
  <c r="C27" i="15" s="1"/>
  <c r="C14" i="4"/>
  <c r="C23" i="13"/>
  <c r="C27" i="13" s="1"/>
  <c r="C23" i="14"/>
  <c r="C27" i="14" s="1"/>
  <c r="D7" i="6"/>
  <c r="E13" i="2"/>
  <c r="D2" i="7"/>
  <c r="D16" i="3"/>
  <c r="E16" i="5"/>
  <c r="E2" i="9"/>
  <c r="E11" i="5"/>
  <c r="E14" i="5" s="1"/>
  <c r="D7" i="18"/>
  <c r="D9" i="18" s="1"/>
  <c r="C11" i="2"/>
  <c r="C14" i="2" s="1"/>
  <c r="E7" i="9"/>
  <c r="F13" i="5"/>
  <c r="D2" i="8"/>
  <c r="D6" i="8" s="1"/>
  <c r="D16" i="4"/>
  <c r="D11" i="4"/>
  <c r="F6" i="5"/>
  <c r="F8" i="5" s="1"/>
  <c r="C9" i="18"/>
  <c r="F4" i="3"/>
  <c r="D10" i="3"/>
  <c r="D15" i="3" s="1"/>
  <c r="D6" i="6"/>
  <c r="D8" i="6" s="1"/>
  <c r="F4" i="2"/>
  <c r="D10" i="2"/>
  <c r="D11" i="2" s="1"/>
  <c r="D14" i="2" s="1"/>
  <c r="E6" i="2"/>
  <c r="E8" i="2" s="1"/>
  <c r="G3" i="10"/>
  <c r="F5" i="10"/>
  <c r="F7" i="10" s="1"/>
  <c r="D3" i="7"/>
  <c r="D5" i="7" s="1"/>
  <c r="D11" i="5"/>
  <c r="D14" i="5" s="1"/>
  <c r="D8" i="9"/>
  <c r="D3" i="6"/>
  <c r="D5" i="6" s="1"/>
  <c r="C9" i="17"/>
  <c r="F25" i="15"/>
  <c r="F25" i="13"/>
  <c r="F6" i="17"/>
  <c r="F7" i="17" s="1"/>
  <c r="F25" i="14"/>
  <c r="F6" i="18"/>
  <c r="F7" i="18" s="1"/>
  <c r="F6" i="16"/>
  <c r="F7" i="16" s="1"/>
  <c r="G7" i="4"/>
  <c r="K12" i="2"/>
  <c r="J4" i="6"/>
  <c r="C8" i="6"/>
  <c r="E6" i="3"/>
  <c r="E8" i="3" s="1"/>
  <c r="G2" i="18"/>
  <c r="G4" i="18" s="1"/>
  <c r="G2" i="17"/>
  <c r="G4" i="17" s="1"/>
  <c r="G21" i="15"/>
  <c r="G2" i="16"/>
  <c r="G4" i="16" s="1"/>
  <c r="F10" i="4"/>
  <c r="F11" i="4" s="1"/>
  <c r="G21" i="13"/>
  <c r="G21" i="14"/>
  <c r="H4" i="4"/>
  <c r="G6" i="4"/>
  <c r="F13" i="3"/>
  <c r="E7" i="7"/>
  <c r="D7" i="17"/>
  <c r="E2" i="8"/>
  <c r="E16" i="4"/>
  <c r="E11" i="4"/>
  <c r="H3" i="11"/>
  <c r="D16" i="2"/>
  <c r="F4" i="11"/>
  <c r="E5" i="11"/>
  <c r="E7" i="11" s="1"/>
  <c r="K4" i="9" l="1"/>
  <c r="L12" i="5"/>
  <c r="L4" i="9" s="1"/>
  <c r="D8" i="8"/>
  <c r="E3" i="7"/>
  <c r="E5" i="7" s="1"/>
  <c r="F23" i="13"/>
  <c r="F23" i="14"/>
  <c r="F23" i="15"/>
  <c r="C28" i="13"/>
  <c r="C29" i="13" s="1"/>
  <c r="C30" i="13"/>
  <c r="E11" i="2"/>
  <c r="E14" i="2" s="1"/>
  <c r="E2" i="6"/>
  <c r="G4" i="11"/>
  <c r="F5" i="11"/>
  <c r="F7" i="11" s="1"/>
  <c r="K4" i="7"/>
  <c r="L12" i="3"/>
  <c r="F3" i="9"/>
  <c r="F5" i="9" s="1"/>
  <c r="F7" i="7"/>
  <c r="G13" i="3"/>
  <c r="G10" i="4"/>
  <c r="I4" i="4"/>
  <c r="H2" i="17"/>
  <c r="H4" i="17" s="1"/>
  <c r="H2" i="16"/>
  <c r="H4" i="16" s="1"/>
  <c r="H2" i="18"/>
  <c r="H4" i="18" s="1"/>
  <c r="H6" i="4"/>
  <c r="K12" i="4"/>
  <c r="J4" i="8"/>
  <c r="C28" i="15"/>
  <c r="C29" i="15" s="1"/>
  <c r="G4" i="3"/>
  <c r="E10" i="3"/>
  <c r="E15" i="3" s="1"/>
  <c r="F6" i="3"/>
  <c r="F8" i="3" s="1"/>
  <c r="D15" i="2"/>
  <c r="E16" i="2" s="1"/>
  <c r="F2" i="9"/>
  <c r="F6" i="9" s="1"/>
  <c r="F16" i="5"/>
  <c r="C28" i="14"/>
  <c r="C29" i="14" s="1"/>
  <c r="E23" i="14"/>
  <c r="E23" i="13"/>
  <c r="E23" i="15"/>
  <c r="E14" i="4"/>
  <c r="D11" i="3"/>
  <c r="D14" i="3" s="1"/>
  <c r="E2" i="7"/>
  <c r="E6" i="7" s="1"/>
  <c r="E8" i="7" s="1"/>
  <c r="E16" i="3"/>
  <c r="F10" i="5"/>
  <c r="F15" i="5" s="1"/>
  <c r="H4" i="5"/>
  <c r="G6" i="5"/>
  <c r="G8" i="5" s="1"/>
  <c r="G4" i="2"/>
  <c r="E10" i="2"/>
  <c r="F6" i="2"/>
  <c r="F8" i="2" s="1"/>
  <c r="I3" i="11"/>
  <c r="D6" i="7"/>
  <c r="D8" i="7" s="1"/>
  <c r="F7" i="9"/>
  <c r="G13" i="5"/>
  <c r="G22" i="13"/>
  <c r="B32" i="13" s="1"/>
  <c r="G8" i="4"/>
  <c r="G22" i="15"/>
  <c r="B32" i="15" s="1"/>
  <c r="G22" i="14"/>
  <c r="B32" i="14" s="1"/>
  <c r="H3" i="12"/>
  <c r="G5" i="12"/>
  <c r="G7" i="12" s="1"/>
  <c r="F15" i="4"/>
  <c r="F3" i="8"/>
  <c r="F5" i="8" s="1"/>
  <c r="F6" i="8" s="1"/>
  <c r="E6" i="9"/>
  <c r="E8" i="9" s="1"/>
  <c r="E6" i="8"/>
  <c r="D23" i="15"/>
  <c r="D23" i="14"/>
  <c r="D23" i="13"/>
  <c r="D14" i="4"/>
  <c r="D9" i="17"/>
  <c r="F13" i="2"/>
  <c r="E7" i="6"/>
  <c r="F16" i="4"/>
  <c r="G6" i="17"/>
  <c r="G7" i="17" s="1"/>
  <c r="H7" i="4"/>
  <c r="G25" i="14"/>
  <c r="G6" i="18"/>
  <c r="G7" i="18" s="1"/>
  <c r="G6" i="16"/>
  <c r="G7" i="16" s="1"/>
  <c r="G25" i="15"/>
  <c r="G25" i="13"/>
  <c r="G5" i="10"/>
  <c r="G7" i="10" s="1"/>
  <c r="H3" i="10"/>
  <c r="K4" i="6"/>
  <c r="L12" i="2"/>
  <c r="F13" i="4"/>
  <c r="E7" i="8"/>
  <c r="E8" i="16"/>
  <c r="E9" i="16" s="1"/>
  <c r="E8" i="17"/>
  <c r="E9" i="17" s="1"/>
  <c r="E8" i="18"/>
  <c r="E9" i="18" s="1"/>
  <c r="E11" i="3" l="1"/>
  <c r="E14" i="3" s="1"/>
  <c r="F8" i="9"/>
  <c r="F11" i="5"/>
  <c r="F14" i="5" s="1"/>
  <c r="G3" i="9"/>
  <c r="G5" i="9" s="1"/>
  <c r="F3" i="7"/>
  <c r="F5" i="7" s="1"/>
  <c r="H8" i="4"/>
  <c r="D24" i="14"/>
  <c r="D26" i="14" s="1"/>
  <c r="G2" i="9"/>
  <c r="G6" i="9" s="1"/>
  <c r="G16" i="5"/>
  <c r="H6" i="17"/>
  <c r="H7" i="17" s="1"/>
  <c r="I7" i="4"/>
  <c r="H6" i="16"/>
  <c r="H7" i="16" s="1"/>
  <c r="H6" i="18"/>
  <c r="H7" i="18" s="1"/>
  <c r="H5" i="12"/>
  <c r="H7" i="12" s="1"/>
  <c r="I3" i="12"/>
  <c r="G16" i="4"/>
  <c r="G2" i="8"/>
  <c r="G11" i="4"/>
  <c r="H4" i="2"/>
  <c r="F10" i="2"/>
  <c r="G6" i="2"/>
  <c r="G8" i="2" s="1"/>
  <c r="C30" i="14"/>
  <c r="D24" i="13"/>
  <c r="D26" i="13" s="1"/>
  <c r="D27" i="13" s="1"/>
  <c r="G10" i="5"/>
  <c r="G15" i="5" s="1"/>
  <c r="I4" i="5"/>
  <c r="H6" i="5"/>
  <c r="H8" i="5" s="1"/>
  <c r="G13" i="2"/>
  <c r="F7" i="6"/>
  <c r="H10" i="4"/>
  <c r="I2" i="16"/>
  <c r="I4" i="16" s="1"/>
  <c r="I2" i="18"/>
  <c r="I4" i="18" s="1"/>
  <c r="J4" i="4"/>
  <c r="I2" i="17"/>
  <c r="I4" i="17" s="1"/>
  <c r="I6" i="4"/>
  <c r="L4" i="6"/>
  <c r="B17" i="2"/>
  <c r="H5" i="10"/>
  <c r="H7" i="10" s="1"/>
  <c r="I3" i="10"/>
  <c r="C30" i="15"/>
  <c r="G3" i="8"/>
  <c r="G5" i="8" s="1"/>
  <c r="G15" i="4"/>
  <c r="F11" i="3"/>
  <c r="F14" i="3" s="1"/>
  <c r="F2" i="7"/>
  <c r="F6" i="7" s="1"/>
  <c r="F8" i="7" s="1"/>
  <c r="F16" i="3"/>
  <c r="D27" i="14"/>
  <c r="D28" i="14" s="1"/>
  <c r="D29" i="14" s="1"/>
  <c r="F10" i="3"/>
  <c r="F15" i="3" s="1"/>
  <c r="H4" i="3"/>
  <c r="G6" i="3"/>
  <c r="G8" i="3" s="1"/>
  <c r="D24" i="15"/>
  <c r="D26" i="15" s="1"/>
  <c r="D27" i="15" s="1"/>
  <c r="D28" i="15" s="1"/>
  <c r="D29" i="15" s="1"/>
  <c r="F11" i="2"/>
  <c r="F14" i="2" s="1"/>
  <c r="F2" i="6"/>
  <c r="H4" i="11"/>
  <c r="G5" i="11"/>
  <c r="G7" i="11" s="1"/>
  <c r="G13" i="4"/>
  <c r="F8" i="18"/>
  <c r="F9" i="18" s="1"/>
  <c r="F8" i="17"/>
  <c r="F9" i="17" s="1"/>
  <c r="F7" i="8"/>
  <c r="F8" i="8" s="1"/>
  <c r="F8" i="16"/>
  <c r="F9" i="16" s="1"/>
  <c r="G7" i="7"/>
  <c r="H13" i="3"/>
  <c r="H13" i="5"/>
  <c r="G7" i="9"/>
  <c r="E3" i="6"/>
  <c r="E5" i="6" s="1"/>
  <c r="E15" i="2"/>
  <c r="F16" i="2" s="1"/>
  <c r="F14" i="4"/>
  <c r="B17" i="3"/>
  <c r="L4" i="7"/>
  <c r="J3" i="11"/>
  <c r="E8" i="8"/>
  <c r="L12" i="4"/>
  <c r="L4" i="8" s="1"/>
  <c r="K4" i="8"/>
  <c r="E6" i="6"/>
  <c r="E8" i="6" s="1"/>
  <c r="D28" i="13" l="1"/>
  <c r="D29" i="13" s="1"/>
  <c r="D30" i="13"/>
  <c r="G6" i="8"/>
  <c r="G3" i="7"/>
  <c r="G5" i="7" s="1"/>
  <c r="E24" i="15"/>
  <c r="E26" i="15" s="1"/>
  <c r="E27" i="15" s="1"/>
  <c r="E28" i="15" s="1"/>
  <c r="E29" i="15" s="1"/>
  <c r="E24" i="14"/>
  <c r="E26" i="14" s="1"/>
  <c r="E27" i="14" s="1"/>
  <c r="E28" i="14" s="1"/>
  <c r="E29" i="14" s="1"/>
  <c r="H3" i="9"/>
  <c r="H5" i="9" s="1"/>
  <c r="E24" i="13"/>
  <c r="E26" i="13" s="1"/>
  <c r="E27" i="13" s="1"/>
  <c r="E28" i="13" s="1"/>
  <c r="E29" i="13" s="1"/>
  <c r="B14" i="7"/>
  <c r="G14" i="4"/>
  <c r="G23" i="13"/>
  <c r="G23" i="14"/>
  <c r="G23" i="15"/>
  <c r="J3" i="12"/>
  <c r="I5" i="12"/>
  <c r="I7" i="12" s="1"/>
  <c r="H7" i="9"/>
  <c r="I13" i="5"/>
  <c r="H2" i="8"/>
  <c r="H16" i="4"/>
  <c r="H11" i="4"/>
  <c r="H10" i="5"/>
  <c r="H15" i="5" s="1"/>
  <c r="J4" i="5"/>
  <c r="I6" i="5"/>
  <c r="I8" i="5" s="1"/>
  <c r="G8" i="16"/>
  <c r="G9" i="16" s="1"/>
  <c r="G8" i="18"/>
  <c r="G9" i="18" s="1"/>
  <c r="G8" i="17"/>
  <c r="G9" i="17" s="1"/>
  <c r="G7" i="8"/>
  <c r="H13" i="4"/>
  <c r="G8" i="8"/>
  <c r="G11" i="3"/>
  <c r="G14" i="3" s="1"/>
  <c r="G16" i="3"/>
  <c r="G2" i="7"/>
  <c r="I4" i="11"/>
  <c r="H5" i="11"/>
  <c r="H7" i="11" s="1"/>
  <c r="G7" i="6"/>
  <c r="H13" i="2"/>
  <c r="D30" i="15"/>
  <c r="E30" i="15" s="1"/>
  <c r="H7" i="7"/>
  <c r="I13" i="3"/>
  <c r="I6" i="16"/>
  <c r="I7" i="16" s="1"/>
  <c r="I6" i="18"/>
  <c r="I7" i="18" s="1"/>
  <c r="J7" i="4"/>
  <c r="I6" i="17"/>
  <c r="I7" i="17" s="1"/>
  <c r="G16" i="2"/>
  <c r="G2" i="6"/>
  <c r="G11" i="5"/>
  <c r="G14" i="5" s="1"/>
  <c r="F15" i="2"/>
  <c r="F3" i="6"/>
  <c r="F5" i="6" s="1"/>
  <c r="F6" i="6" s="1"/>
  <c r="F8" i="6" s="1"/>
  <c r="H15" i="4"/>
  <c r="H3" i="8"/>
  <c r="H5" i="8" s="1"/>
  <c r="G8" i="9"/>
  <c r="J2" i="17"/>
  <c r="J4" i="17" s="1"/>
  <c r="J2" i="18"/>
  <c r="J4" i="18" s="1"/>
  <c r="J2" i="16"/>
  <c r="J4" i="16" s="1"/>
  <c r="I10" i="4"/>
  <c r="J6" i="4"/>
  <c r="K4" i="4"/>
  <c r="H16" i="5"/>
  <c r="H11" i="5"/>
  <c r="H14" i="5" s="1"/>
  <c r="H2" i="9"/>
  <c r="J3" i="10"/>
  <c r="I5" i="10"/>
  <c r="I7" i="10" s="1"/>
  <c r="D30" i="14"/>
  <c r="H6" i="3"/>
  <c r="H8" i="3" s="1"/>
  <c r="I4" i="3"/>
  <c r="G10" i="3"/>
  <c r="G15" i="3" s="1"/>
  <c r="B14" i="6"/>
  <c r="K3" i="11"/>
  <c r="I8" i="4"/>
  <c r="G10" i="2"/>
  <c r="G11" i="2" s="1"/>
  <c r="G14" i="2" s="1"/>
  <c r="H6" i="2"/>
  <c r="H8" i="2" s="1"/>
  <c r="I4" i="2"/>
  <c r="H14" i="4" l="1"/>
  <c r="H6" i="8"/>
  <c r="J8" i="4"/>
  <c r="G6" i="7"/>
  <c r="G8" i="7" s="1"/>
  <c r="F24" i="13"/>
  <c r="F26" i="13" s="1"/>
  <c r="F27" i="13" s="1"/>
  <c r="F28" i="13" s="1"/>
  <c r="F29" i="13" s="1"/>
  <c r="F24" i="14"/>
  <c r="F26" i="14" s="1"/>
  <c r="F27" i="14" s="1"/>
  <c r="F28" i="14" s="1"/>
  <c r="F29" i="14" s="1"/>
  <c r="H3" i="7"/>
  <c r="H5" i="7" s="1"/>
  <c r="F24" i="15"/>
  <c r="F26" i="15" s="1"/>
  <c r="F27" i="15" s="1"/>
  <c r="F28" i="15" s="1"/>
  <c r="F29" i="15" s="1"/>
  <c r="I11" i="4"/>
  <c r="I2" i="8"/>
  <c r="I16" i="4"/>
  <c r="J13" i="5"/>
  <c r="I7" i="9"/>
  <c r="H2" i="6"/>
  <c r="L3" i="11"/>
  <c r="I3" i="9"/>
  <c r="I5" i="9" s="1"/>
  <c r="J6" i="18"/>
  <c r="J7" i="18" s="1"/>
  <c r="J6" i="16"/>
  <c r="J6" i="17"/>
  <c r="J7" i="17" s="1"/>
  <c r="K7" i="4"/>
  <c r="J7" i="16"/>
  <c r="H2" i="7"/>
  <c r="H16" i="3"/>
  <c r="E30" i="14"/>
  <c r="I11" i="5"/>
  <c r="I14" i="5" s="1"/>
  <c r="I16" i="5"/>
  <c r="I2" i="9"/>
  <c r="G6" i="6"/>
  <c r="G8" i="6" s="1"/>
  <c r="K2" i="16"/>
  <c r="K4" i="16" s="1"/>
  <c r="K2" i="18"/>
  <c r="K4" i="18" s="1"/>
  <c r="J10" i="4"/>
  <c r="K6" i="4"/>
  <c r="K2" i="17"/>
  <c r="K4" i="17" s="1"/>
  <c r="L4" i="4"/>
  <c r="J2" i="8"/>
  <c r="J11" i="4"/>
  <c r="H7" i="8"/>
  <c r="H8" i="8" s="1"/>
  <c r="H8" i="17"/>
  <c r="H9" i="17" s="1"/>
  <c r="H8" i="18"/>
  <c r="H9" i="18" s="1"/>
  <c r="H8" i="16"/>
  <c r="H9" i="16" s="1"/>
  <c r="I13" i="4"/>
  <c r="J4" i="3"/>
  <c r="H10" i="3"/>
  <c r="H11" i="3" s="1"/>
  <c r="H14" i="3" s="1"/>
  <c r="I6" i="3"/>
  <c r="I8" i="3" s="1"/>
  <c r="K3" i="12"/>
  <c r="J5" i="12"/>
  <c r="J7" i="12" s="1"/>
  <c r="I13" i="2"/>
  <c r="H7" i="6"/>
  <c r="J5" i="10"/>
  <c r="J7" i="10" s="1"/>
  <c r="K3" i="10"/>
  <c r="H6" i="9"/>
  <c r="H8" i="9" s="1"/>
  <c r="I10" i="5"/>
  <c r="I15" i="5" s="1"/>
  <c r="K4" i="5"/>
  <c r="J6" i="5"/>
  <c r="J8" i="5" s="1"/>
  <c r="I7" i="7"/>
  <c r="J13" i="3"/>
  <c r="E30" i="13"/>
  <c r="F30" i="13" s="1"/>
  <c r="I3" i="8"/>
  <c r="I5" i="8" s="1"/>
  <c r="I15" i="4"/>
  <c r="J4" i="11"/>
  <c r="I5" i="11"/>
  <c r="I7" i="11" s="1"/>
  <c r="I6" i="2"/>
  <c r="I8" i="2" s="1"/>
  <c r="H10" i="2"/>
  <c r="H11" i="2" s="1"/>
  <c r="H14" i="2" s="1"/>
  <c r="J4" i="2"/>
  <c r="G3" i="6"/>
  <c r="G5" i="6" s="1"/>
  <c r="G15" i="2"/>
  <c r="I14" i="4" l="1"/>
  <c r="I6" i="8"/>
  <c r="G24" i="15"/>
  <c r="G26" i="15" s="1"/>
  <c r="G27" i="15" s="1"/>
  <c r="G28" i="15" s="1"/>
  <c r="G29" i="15" s="1"/>
  <c r="G24" i="14"/>
  <c r="G26" i="14" s="1"/>
  <c r="G27" i="14" s="1"/>
  <c r="G28" i="14" s="1"/>
  <c r="G29" i="14"/>
  <c r="G24" i="13"/>
  <c r="G26" i="13" s="1"/>
  <c r="G27" i="13" s="1"/>
  <c r="G28" i="13" s="1"/>
  <c r="G29" i="13" s="1"/>
  <c r="K13" i="5"/>
  <c r="J7" i="9"/>
  <c r="J14" i="4"/>
  <c r="K8" i="4"/>
  <c r="K6" i="16"/>
  <c r="K7" i="16" s="1"/>
  <c r="K6" i="18"/>
  <c r="K7" i="18" s="1"/>
  <c r="K6" i="17"/>
  <c r="K7" i="17" s="1"/>
  <c r="L7" i="4"/>
  <c r="K4" i="3"/>
  <c r="I10" i="3"/>
  <c r="I11" i="3" s="1"/>
  <c r="I14" i="3" s="1"/>
  <c r="J6" i="3"/>
  <c r="J8" i="3" s="1"/>
  <c r="M4" i="4"/>
  <c r="L2" i="18"/>
  <c r="L4" i="18" s="1"/>
  <c r="L2" i="16"/>
  <c r="L4" i="16" s="1"/>
  <c r="K10" i="4"/>
  <c r="L2" i="17"/>
  <c r="L4" i="17" s="1"/>
  <c r="L6" i="4"/>
  <c r="F30" i="15"/>
  <c r="G30" i="15" s="1"/>
  <c r="B13" i="11"/>
  <c r="B14" i="11" s="1"/>
  <c r="B15" i="11" s="1"/>
  <c r="J3" i="8"/>
  <c r="J5" i="8" s="1"/>
  <c r="J6" i="8" s="1"/>
  <c r="J15" i="4"/>
  <c r="H15" i="3"/>
  <c r="I16" i="3" s="1"/>
  <c r="K13" i="3"/>
  <c r="J7" i="7"/>
  <c r="H3" i="6"/>
  <c r="H5" i="6" s="1"/>
  <c r="H15" i="2"/>
  <c r="K4" i="2"/>
  <c r="I10" i="2"/>
  <c r="J6" i="2"/>
  <c r="J8" i="2" s="1"/>
  <c r="L3" i="10"/>
  <c r="K5" i="10"/>
  <c r="K7" i="10" s="1"/>
  <c r="I7" i="6"/>
  <c r="J13" i="2"/>
  <c r="K5" i="12"/>
  <c r="K7" i="12" s="1"/>
  <c r="L3" i="12"/>
  <c r="I2" i="7"/>
  <c r="I6" i="9"/>
  <c r="I8" i="9" s="1"/>
  <c r="I7" i="8"/>
  <c r="I8" i="8" s="1"/>
  <c r="I8" i="18"/>
  <c r="I9" i="18" s="1"/>
  <c r="I8" i="17"/>
  <c r="I9" i="17" s="1"/>
  <c r="I8" i="16"/>
  <c r="I9" i="16" s="1"/>
  <c r="J13" i="4"/>
  <c r="L4" i="5"/>
  <c r="J10" i="5"/>
  <c r="J15" i="5" s="1"/>
  <c r="K6" i="5"/>
  <c r="K8" i="5" s="1"/>
  <c r="I16" i="2"/>
  <c r="I2" i="6"/>
  <c r="I11" i="2"/>
  <c r="I14" i="2" s="1"/>
  <c r="H6" i="7"/>
  <c r="H8" i="7" s="1"/>
  <c r="K4" i="11"/>
  <c r="J5" i="11"/>
  <c r="J7" i="11" s="1"/>
  <c r="J3" i="9"/>
  <c r="J5" i="9" s="1"/>
  <c r="H16" i="2"/>
  <c r="J16" i="5"/>
  <c r="J2" i="9"/>
  <c r="J6" i="9" s="1"/>
  <c r="J8" i="9" s="1"/>
  <c r="F30" i="14"/>
  <c r="H6" i="6"/>
  <c r="H8" i="6" s="1"/>
  <c r="J16" i="4"/>
  <c r="L8" i="4" l="1"/>
  <c r="B33" i="15"/>
  <c r="B34" i="15" s="1"/>
  <c r="B35" i="15" s="1"/>
  <c r="B37" i="15" s="1"/>
  <c r="G30" i="14"/>
  <c r="K3" i="9"/>
  <c r="K5" i="9" s="1"/>
  <c r="J7" i="6"/>
  <c r="K13" i="2"/>
  <c r="L5" i="12"/>
  <c r="L7" i="12" s="1"/>
  <c r="B16" i="12" s="1"/>
  <c r="B13" i="12"/>
  <c r="B14" i="12" s="1"/>
  <c r="B15" i="12" s="1"/>
  <c r="K2" i="8"/>
  <c r="K16" i="4"/>
  <c r="K11" i="4"/>
  <c r="K14" i="4" s="1"/>
  <c r="J11" i="5"/>
  <c r="J14" i="5" s="1"/>
  <c r="J2" i="6"/>
  <c r="B33" i="14"/>
  <c r="B34" i="14" s="1"/>
  <c r="B35" i="14" s="1"/>
  <c r="B37" i="14" s="1"/>
  <c r="L11" i="4"/>
  <c r="L2" i="8"/>
  <c r="J8" i="16"/>
  <c r="J9" i="16" s="1"/>
  <c r="J8" i="17"/>
  <c r="J9" i="17" s="1"/>
  <c r="J7" i="8"/>
  <c r="J8" i="8" s="1"/>
  <c r="J8" i="18"/>
  <c r="J9" i="18" s="1"/>
  <c r="K13" i="4"/>
  <c r="B14" i="16"/>
  <c r="I3" i="6"/>
  <c r="I5" i="6" s="1"/>
  <c r="I6" i="6" s="1"/>
  <c r="I8" i="6" s="1"/>
  <c r="I15" i="2"/>
  <c r="L10" i="4"/>
  <c r="M6" i="4"/>
  <c r="M8" i="4" s="1"/>
  <c r="K16" i="5"/>
  <c r="K2" i="9"/>
  <c r="K6" i="9" s="1"/>
  <c r="L6" i="5"/>
  <c r="L8" i="5" s="1"/>
  <c r="K10" i="5"/>
  <c r="K11" i="5" s="1"/>
  <c r="K14" i="5" s="1"/>
  <c r="M4" i="5"/>
  <c r="L13" i="5"/>
  <c r="L7" i="9" s="1"/>
  <c r="K7" i="9"/>
  <c r="J10" i="2"/>
  <c r="J11" i="2" s="1"/>
  <c r="J14" i="2" s="1"/>
  <c r="K6" i="2"/>
  <c r="K8" i="2" s="1"/>
  <c r="L4" i="2"/>
  <c r="L13" i="3"/>
  <c r="L7" i="7" s="1"/>
  <c r="K7" i="7"/>
  <c r="L4" i="3"/>
  <c r="J10" i="3"/>
  <c r="J11" i="3" s="1"/>
  <c r="J14" i="3" s="1"/>
  <c r="K6" i="3"/>
  <c r="K8" i="3" s="1"/>
  <c r="B13" i="10"/>
  <c r="B14" i="10" s="1"/>
  <c r="B15" i="10" s="1"/>
  <c r="L5" i="10"/>
  <c r="L7" i="10" s="1"/>
  <c r="B16" i="10" s="1"/>
  <c r="B17" i="10" s="1"/>
  <c r="L7" i="17"/>
  <c r="B14" i="17"/>
  <c r="B14" i="18"/>
  <c r="G30" i="13"/>
  <c r="B33" i="13" s="1"/>
  <c r="B34" i="13" s="1"/>
  <c r="B35" i="13" s="1"/>
  <c r="B37" i="13" s="1"/>
  <c r="J2" i="7"/>
  <c r="I15" i="3"/>
  <c r="J16" i="3" s="1"/>
  <c r="I3" i="7"/>
  <c r="I5" i="7" s="1"/>
  <c r="I6" i="7" s="1"/>
  <c r="I8" i="7" s="1"/>
  <c r="L4" i="11"/>
  <c r="L5" i="11" s="1"/>
  <c r="L7" i="11" s="1"/>
  <c r="B16" i="11" s="1"/>
  <c r="B17" i="11" s="1"/>
  <c r="K5" i="11"/>
  <c r="K7" i="11" s="1"/>
  <c r="K3" i="8"/>
  <c r="K5" i="8" s="1"/>
  <c r="K15" i="4"/>
  <c r="L16" i="4" s="1"/>
  <c r="L6" i="17"/>
  <c r="L6" i="18"/>
  <c r="L7" i="18" s="1"/>
  <c r="L6" i="16"/>
  <c r="L7" i="16" s="1"/>
  <c r="K6" i="8" l="1"/>
  <c r="K2" i="6"/>
  <c r="J3" i="6"/>
  <c r="J5" i="6" s="1"/>
  <c r="J15" i="2"/>
  <c r="K16" i="2" s="1"/>
  <c r="B17" i="12"/>
  <c r="L6" i="2"/>
  <c r="L8" i="2" s="1"/>
  <c r="K10" i="2"/>
  <c r="K11" i="2" s="1"/>
  <c r="K14" i="2" s="1"/>
  <c r="M4" i="2"/>
  <c r="K8" i="16"/>
  <c r="K9" i="16" s="1"/>
  <c r="K8" i="17"/>
  <c r="K9" i="17" s="1"/>
  <c r="K7" i="8"/>
  <c r="K8" i="8" s="1"/>
  <c r="K8" i="18"/>
  <c r="K9" i="18" s="1"/>
  <c r="L13" i="4"/>
  <c r="L14" i="4" s="1"/>
  <c r="B20" i="4" s="1"/>
  <c r="K7" i="6"/>
  <c r="L13" i="2"/>
  <c r="L7" i="6" s="1"/>
  <c r="L6" i="8"/>
  <c r="K8" i="9"/>
  <c r="K10" i="3"/>
  <c r="M4" i="3"/>
  <c r="L6" i="3"/>
  <c r="L8" i="3" s="1"/>
  <c r="J3" i="7"/>
  <c r="J5" i="7" s="1"/>
  <c r="J6" i="7" s="1"/>
  <c r="J8" i="7" s="1"/>
  <c r="J15" i="3"/>
  <c r="K16" i="3" s="1"/>
  <c r="L2" i="9"/>
  <c r="K15" i="5"/>
  <c r="L16" i="5" s="1"/>
  <c r="L15" i="4"/>
  <c r="B15" i="8" s="1"/>
  <c r="L3" i="8"/>
  <c r="L5" i="8" s="1"/>
  <c r="B11" i="8"/>
  <c r="M10" i="4"/>
  <c r="M11" i="4" s="1"/>
  <c r="B18" i="4" s="1"/>
  <c r="B19" i="4" s="1"/>
  <c r="J16" i="2"/>
  <c r="L10" i="5"/>
  <c r="L11" i="5" s="1"/>
  <c r="L14" i="5" s="1"/>
  <c r="B20" i="5" s="1"/>
  <c r="M6" i="5"/>
  <c r="M8" i="5" s="1"/>
  <c r="K2" i="7"/>
  <c r="K11" i="3"/>
  <c r="K14" i="3" s="1"/>
  <c r="J6" i="6"/>
  <c r="J8" i="6" s="1"/>
  <c r="B21" i="4" l="1"/>
  <c r="B31" i="4"/>
  <c r="B11" i="9"/>
  <c r="M10" i="5"/>
  <c r="M11" i="5" s="1"/>
  <c r="B18" i="5" s="1"/>
  <c r="B19" i="5" s="1"/>
  <c r="L3" i="9"/>
  <c r="L5" i="9" s="1"/>
  <c r="L15" i="5"/>
  <c r="B15" i="9" s="1"/>
  <c r="L6" i="9"/>
  <c r="L8" i="9" s="1"/>
  <c r="B10" i="9" s="1"/>
  <c r="K3" i="7"/>
  <c r="K5" i="7" s="1"/>
  <c r="K6" i="7" s="1"/>
  <c r="K8" i="7" s="1"/>
  <c r="K15" i="3"/>
  <c r="L16" i="3"/>
  <c r="L2" i="7"/>
  <c r="L10" i="3"/>
  <c r="L11" i="3" s="1"/>
  <c r="L14" i="3" s="1"/>
  <c r="B20" i="3" s="1"/>
  <c r="M6" i="3"/>
  <c r="M8" i="3" s="1"/>
  <c r="B17" i="8"/>
  <c r="B16" i="8"/>
  <c r="L10" i="2"/>
  <c r="L11" i="2" s="1"/>
  <c r="L14" i="2" s="1"/>
  <c r="B20" i="2" s="1"/>
  <c r="M6" i="2"/>
  <c r="M8" i="2" s="1"/>
  <c r="L2" i="6"/>
  <c r="K3" i="6"/>
  <c r="K5" i="6" s="1"/>
  <c r="K15" i="2"/>
  <c r="K6" i="6"/>
  <c r="K8" i="6" s="1"/>
  <c r="L8" i="18"/>
  <c r="L8" i="17"/>
  <c r="L7" i="8"/>
  <c r="L8" i="8" s="1"/>
  <c r="B10" i="8" s="1"/>
  <c r="L8" i="16"/>
  <c r="B21" i="5" l="1"/>
  <c r="B11" i="7"/>
  <c r="M10" i="3"/>
  <c r="M11" i="3" s="1"/>
  <c r="B18" i="3" s="1"/>
  <c r="B19" i="3" s="1"/>
  <c r="L9" i="17"/>
  <c r="B16" i="17" s="1"/>
  <c r="B15" i="17"/>
  <c r="L9" i="18"/>
  <c r="B16" i="18" s="1"/>
  <c r="B15" i="18"/>
  <c r="L3" i="6"/>
  <c r="L5" i="6" s="1"/>
  <c r="L6" i="6" s="1"/>
  <c r="L8" i="6" s="1"/>
  <c r="B10" i="6" s="1"/>
  <c r="L15" i="2"/>
  <c r="B15" i="6" s="1"/>
  <c r="B15" i="16"/>
  <c r="L9" i="16"/>
  <c r="B16" i="16" s="1"/>
  <c r="B17" i="16" s="1"/>
  <c r="B19" i="16" s="1"/>
  <c r="B20" i="9"/>
  <c r="L16" i="2"/>
  <c r="L15" i="3"/>
  <c r="B15" i="7" s="1"/>
  <c r="L3" i="7"/>
  <c r="L5" i="7" s="1"/>
  <c r="L6" i="7" s="1"/>
  <c r="L8" i="7" s="1"/>
  <c r="B10" i="7" s="1"/>
  <c r="B11" i="6"/>
  <c r="M10" i="2"/>
  <c r="M11" i="2" s="1"/>
  <c r="B18" i="2" s="1"/>
  <c r="B19" i="2" s="1"/>
  <c r="B17" i="9"/>
  <c r="B16" i="9"/>
  <c r="B18" i="9" s="1"/>
  <c r="B19" i="9" s="1"/>
  <c r="B18" i="8"/>
  <c r="B19" i="8" s="1"/>
  <c r="B20" i="8" s="1"/>
  <c r="B26" i="4"/>
  <c r="B28" i="4" s="1"/>
  <c r="B30" i="4" s="1"/>
  <c r="B21" i="8"/>
  <c r="B22" i="8" l="1"/>
  <c r="B21" i="3"/>
  <c r="B31" i="3" s="1"/>
  <c r="B21" i="2"/>
  <c r="B31" i="2" s="1"/>
  <c r="B17" i="18"/>
  <c r="B19" i="18" s="1"/>
  <c r="B17" i="17"/>
  <c r="B19" i="17" s="1"/>
  <c r="B20" i="17"/>
  <c r="B21" i="17" s="1"/>
  <c r="B20" i="18"/>
  <c r="B21" i="18" s="1"/>
  <c r="B20" i="16"/>
  <c r="B21" i="16" s="1"/>
  <c r="B16" i="6"/>
  <c r="B17" i="6"/>
  <c r="B17" i="7"/>
  <c r="B16" i="7"/>
  <c r="B26" i="5"/>
  <c r="B28" i="5" s="1"/>
  <c r="B30" i="5" s="1"/>
  <c r="B21" i="9"/>
  <c r="B22" i="9" s="1"/>
  <c r="B31" i="5"/>
  <c r="B18" i="7" l="1"/>
  <c r="B19" i="7" s="1"/>
  <c r="B20" i="7" s="1"/>
  <c r="B18" i="6"/>
  <c r="B19" i="6" s="1"/>
  <c r="B20" i="6" s="1"/>
  <c r="B26" i="2"/>
  <c r="B28" i="2" s="1"/>
  <c r="B30" i="2" s="1"/>
  <c r="B21" i="6"/>
  <c r="B21" i="7"/>
  <c r="B26" i="3"/>
  <c r="B28" i="3" s="1"/>
  <c r="B30" i="3" s="1"/>
  <c r="B22" i="6" l="1"/>
  <c r="B22" i="7"/>
</calcChain>
</file>

<file path=xl/sharedStrings.xml><?xml version="1.0" encoding="utf-8"?>
<sst xmlns="http://schemas.openxmlformats.org/spreadsheetml/2006/main" count="694" uniqueCount="204">
  <si>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</si>
  <si>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</si>
  <si>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</si>
  <si>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</si>
  <si>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</si>
  <si>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</si>
  <si>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</si>
  <si>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</si>
  <si>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</si>
  <si>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</si>
  <si>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</si>
  <si>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</si>
  <si>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</si>
  <si>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</si>
  <si>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</si>
  <si>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</si>
  <si>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</si>
  <si>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</si>
  <si>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</si>
  <si>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</si>
  <si>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</si>
  <si>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</si>
  <si>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</si>
  <si>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</si>
  <si>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</si>
  <si>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</si>
  <si>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</si>
  <si>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</si>
  <si>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</si>
  <si>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</si>
  <si>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</si>
  <si>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</si>
  <si>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</si>
  <si>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</si>
  <si>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</si>
  <si>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</si>
  <si>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</si>
  <si>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</si>
  <si>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</si>
  <si>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</si>
  <si>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</si>
  <si>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</si>
  <si>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</si>
  <si>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</si>
  <si>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</si>
  <si>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</si>
  <si>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</si>
  <si>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</si>
  <si>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</si>
  <si>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</si>
  <si>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</si>
  <si>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</si>
  <si>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</si>
  <si>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</si>
  <si>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</si>
  <si>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</si>
  <si>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</si>
  <si>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</si>
  <si>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</si>
  <si>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</si>
  <si>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</si>
  <si>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</si>
  <si>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</si>
  <si>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</si>
  <si>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</si>
  <si>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</si>
  <si>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</si>
  <si>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</si>
  <si>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</si>
  <si>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</si>
  <si>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</si>
  <si>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</si>
  <si>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</si>
  <si>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</si>
  <si>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</si>
  <si>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</si>
  <si>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</si>
  <si>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</si>
  <si>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</si>
  <si>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</si>
  <si>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</si>
  <si>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</si>
  <si>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</si>
  <si>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</si>
  <si>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</si>
  <si>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</si>
  <si>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</si>
  <si>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</si>
  <si>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</si>
  <si>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</si>
  <si>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</si>
  <si>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</si>
  <si>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</si>
  <si>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</si>
  <si>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</si>
  <si>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</si>
  <si>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</si>
  <si>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</si>
  <si>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</si>
  <si>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</si>
  <si>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</si>
  <si>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</si>
  <si>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</si>
  <si>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</si>
  <si>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</si>
  <si>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</si>
  <si>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</si>
  <si>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</si>
  <si>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</si>
  <si>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</si>
  <si>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</si>
  <si>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</si>
  <si>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</si>
  <si>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</si>
  <si>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</si>
  <si>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</si>
  <si>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</si>
  <si>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Total uses</t>
  </si>
  <si>
    <t>Excess cash used</t>
  </si>
  <si>
    <t>Sponsor equity</t>
  </si>
  <si>
    <t>EBITDA (reported basis)</t>
  </si>
  <si>
    <t>FCFF before financing (DCF Base)</t>
  </si>
  <si>
    <t>Interest</t>
  </si>
  <si>
    <t>After-tax interest</t>
  </si>
  <si>
    <t>Cash flow after interest</t>
  </si>
  <si>
    <t>Debt repaid</t>
  </si>
  <si>
    <t>Debt, end of year</t>
  </si>
  <si>
    <t>Cash, end of year</t>
  </si>
  <si>
    <t>Exit EV / EBITDA</t>
  </si>
  <si>
    <t>Exit enterprise value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</si>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</sst>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14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17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24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48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49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50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51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54</v>
      </c>
      <c r="B17">
        <f>IF('Scenario inputs'!C23=1,'Scenario inputs'!C24,L12)</f>
        <v>9.4478057603863241E-2</v>
      </c>
    </row>
    <row r="18" spans="1:2" x14ac:dyDescent="0.35">
      <c r="A18" s="1" t="s">
        <v>55</v>
      </c>
      <c r="B18">
        <f>M11/(M12-M3)</f>
        <v>1095.7227025593993</v>
      </c>
    </row>
    <row r="19" spans="1:2" x14ac:dyDescent="0.35">
      <c r="A19" s="1" t="s">
        <v>56</v>
      </c>
      <c r="B19">
        <f>B18*L13</f>
        <v>467.34813668938193</v>
      </c>
    </row>
    <row r="20" spans="1:2" x14ac:dyDescent="0.35">
      <c r="A20" s="1" t="s">
        <v>57</v>
      </c>
      <c r="B20">
        <f>SUM(C14:L14)</f>
        <v>520.82591864633127</v>
      </c>
    </row>
    <row r="21" spans="1:2" x14ac:dyDescent="0.35">
      <c r="A21" s="1" t="s">
        <v>58</v>
      </c>
      <c r="B21">
        <f>B19+B20</f>
        <v>988.17405533571321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959.3090553357132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959.3090553357132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70.365330393443827</v>
      </c>
    </row>
    <row r="31" spans="1:2" x14ac:dyDescent="0.35">
      <c r="A31" s="1" t="s">
        <v>68</v>
      </c>
      <c r="B31">
        <f>B19/B21</f>
        <v>0.47294111211066897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48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49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50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51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2285.2375887273847</v>
      </c>
    </row>
    <row r="19" spans="1:2" x14ac:dyDescent="0.35">
      <c r="A19" s="1" t="s">
        <v>56</v>
      </c>
      <c r="B19">
        <f>B18*L13</f>
        <v>1119.0076838945879</v>
      </c>
    </row>
    <row r="20" spans="1:2" x14ac:dyDescent="0.35">
      <c r="A20" s="1" t="s">
        <v>57</v>
      </c>
      <c r="B20">
        <f>SUM(C14:L14)</f>
        <v>618.58465776243327</v>
      </c>
    </row>
    <row r="21" spans="1:2" x14ac:dyDescent="0.35">
      <c r="A21" s="1" t="s">
        <v>58</v>
      </c>
      <c r="B21">
        <f>B19+B20</f>
        <v>1737.5923416570213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1708.7273416570215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1708.7273416570215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125.33517043256788</v>
      </c>
    </row>
    <row r="31" spans="1:2" x14ac:dyDescent="0.35">
      <c r="A31" s="1" t="s">
        <v>68</v>
      </c>
      <c r="B31">
        <f>B19/B21</f>
        <v>0.64399897321570143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48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49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50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51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4163.6653759948513</v>
      </c>
    </row>
    <row r="19" spans="1:2" x14ac:dyDescent="0.35">
      <c r="A19" s="1" t="s">
        <v>56</v>
      </c>
      <c r="B19">
        <f>B18*L13</f>
        <v>2201.2903889527979</v>
      </c>
    </row>
    <row r="20" spans="1:2" x14ac:dyDescent="0.35">
      <c r="A20" s="1" t="s">
        <v>57</v>
      </c>
      <c r="B20">
        <f>SUM(C14:L14)</f>
        <v>748.91976638585095</v>
      </c>
    </row>
    <row r="21" spans="1:2" x14ac:dyDescent="0.35">
      <c r="A21" s="1" t="s">
        <v>58</v>
      </c>
      <c r="B21">
        <f>B19+B20</f>
        <v>2950.2101553386487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2921.345155338649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2921.345155338649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214.28070120400736</v>
      </c>
    </row>
    <row r="31" spans="1:2" x14ac:dyDescent="0.35">
      <c r="A31" s="1" t="s">
        <v>68</v>
      </c>
      <c r="B31">
        <f>B19/B21</f>
        <v>0.74614697701090249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49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71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72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50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73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382.89143015751358</v>
      </c>
    </row>
    <row r="11" spans="1:12" x14ac:dyDescent="0.35">
      <c r="A11" s="1" t="s">
        <v>76</v>
      </c>
      <c r="B11">
        <f>'DCF Bear'!M8</f>
        <v>103.52175261026761</v>
      </c>
    </row>
    <row r="12" spans="1:12" x14ac:dyDescent="0.35">
      <c r="A12" s="1" t="s">
        <v>77</v>
      </c>
      <c r="B12">
        <f>'DCF Bear'!M12</f>
        <v>9.4478057603863227E-2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9.4478057603863241E-2</v>
      </c>
    </row>
    <row r="15" spans="1:12" x14ac:dyDescent="0.35">
      <c r="A15" s="1" t="s">
        <v>79</v>
      </c>
      <c r="B15">
        <f>'DCF Bear'!L15</f>
        <v>411.47502498080172</v>
      </c>
    </row>
    <row r="16" spans="1:12" x14ac:dyDescent="0.35">
      <c r="A16" s="1" t="s">
        <v>80</v>
      </c>
      <c r="B16">
        <f>B11-B12*B15</f>
        <v>64.646391497580368</v>
      </c>
    </row>
    <row r="17" spans="1:2" x14ac:dyDescent="0.35">
      <c r="A17" s="1" t="s">
        <v>81</v>
      </c>
      <c r="B17">
        <f>B11*(B13/B14)*(B14-B12)/(B12*(B12-B13))</f>
        <v>4.3220680539997398E-14</v>
      </c>
    </row>
    <row r="18" spans="1:2" x14ac:dyDescent="0.35">
      <c r="A18" s="1" t="s">
        <v>82</v>
      </c>
      <c r="B18">
        <f>B16/B12+B17</f>
        <v>684.24767757859752</v>
      </c>
    </row>
    <row r="19" spans="1:2" x14ac:dyDescent="0.35">
      <c r="A19" s="1" t="s">
        <v>83</v>
      </c>
      <c r="B19">
        <f>B18*L7</f>
        <v>291.84562517819978</v>
      </c>
    </row>
    <row r="20" spans="1:2" x14ac:dyDescent="0.35">
      <c r="A20" s="1" t="s">
        <v>84</v>
      </c>
      <c r="B20">
        <f>B9+B10+B19</f>
        <v>988.17405533571332</v>
      </c>
    </row>
    <row r="21" spans="1:2" x14ac:dyDescent="0.35">
      <c r="A21" s="1" t="s">
        <v>85</v>
      </c>
      <c r="B21">
        <f>'DCF Bear'!B21</f>
        <v>988.17405533571321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49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71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72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50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73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545.08511972684062</v>
      </c>
    </row>
    <row r="11" spans="1:12" x14ac:dyDescent="0.35">
      <c r="A11" s="1" t="s">
        <v>76</v>
      </c>
      <c r="B11">
        <f>'DCF Base'!M8</f>
        <v>134.40959249940855</v>
      </c>
    </row>
    <row r="12" spans="1:12" x14ac:dyDescent="0.35">
      <c r="A12" s="1" t="s">
        <v>77</v>
      </c>
      <c r="B12">
        <f>'DCF Base'!M12</f>
        <v>7.4013719318297547E-2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490.00030555336502</v>
      </c>
    </row>
    <row r="16" spans="1:12" x14ac:dyDescent="0.35">
      <c r="A16" s="1" t="s">
        <v>80</v>
      </c>
      <c r="B16">
        <f>B11-B12*B15</f>
        <v>98.142847418301756</v>
      </c>
    </row>
    <row r="17" spans="1:2" x14ac:dyDescent="0.35">
      <c r="A17" s="1" t="s">
        <v>81</v>
      </c>
      <c r="B17">
        <f>B11*(B13/B14)*(B14-B12)/(B12*(B12-B13))</f>
        <v>469.22842532651202</v>
      </c>
    </row>
    <row r="18" spans="1:2" x14ac:dyDescent="0.35">
      <c r="A18" s="1" t="s">
        <v>82</v>
      </c>
      <c r="B18">
        <f>B16/B12+B17</f>
        <v>1795.2372831740199</v>
      </c>
    </row>
    <row r="19" spans="1:2" x14ac:dyDescent="0.35">
      <c r="A19" s="1" t="s">
        <v>83</v>
      </c>
      <c r="B19">
        <f>B18*L7</f>
        <v>879.07022193018042</v>
      </c>
    </row>
    <row r="20" spans="1:2" x14ac:dyDescent="0.35">
      <c r="A20" s="1" t="s">
        <v>84</v>
      </c>
      <c r="B20">
        <f>B9+B10+B19</f>
        <v>1737.5923416570211</v>
      </c>
    </row>
    <row r="21" spans="1:2" x14ac:dyDescent="0.35">
      <c r="A21" s="1" t="s">
        <v>85</v>
      </c>
      <c r="B21">
        <f>'DCF Base'!B21</f>
        <v>1737.5923416570213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49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71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72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50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73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737.17923951648334</v>
      </c>
    </row>
    <row r="11" spans="1:12" x14ac:dyDescent="0.35">
      <c r="A11" s="1" t="s">
        <v>76</v>
      </c>
      <c r="B11">
        <f>'DCF Bull'!M8</f>
        <v>175.41346372560082</v>
      </c>
    </row>
    <row r="12" spans="1:12" x14ac:dyDescent="0.35">
      <c r="A12" s="1" t="s">
        <v>77</v>
      </c>
      <c r="B12">
        <f>'DCF Bull'!M12</f>
        <v>6.5810140994131863E-2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570.64854575200275</v>
      </c>
    </row>
    <row r="16" spans="1:12" x14ac:dyDescent="0.35">
      <c r="A16" s="1" t="s">
        <v>80</v>
      </c>
      <c r="B16">
        <f>B11-B12*B15</f>
        <v>137.85900247156522</v>
      </c>
    </row>
    <row r="17" spans="1:2" x14ac:dyDescent="0.35">
      <c r="A17" s="1" t="s">
        <v>81</v>
      </c>
      <c r="B17">
        <f>B11*(B13/B14)*(B14-B12)/(B12*(B12-B13))</f>
        <v>1498.218059277478</v>
      </c>
    </row>
    <row r="18" spans="1:2" x14ac:dyDescent="0.35">
      <c r="A18" s="1" t="s">
        <v>82</v>
      </c>
      <c r="B18">
        <f>B16/B12+B17</f>
        <v>3593.0168302428492</v>
      </c>
    </row>
    <row r="19" spans="1:2" x14ac:dyDescent="0.35">
      <c r="A19" s="1" t="s">
        <v>83</v>
      </c>
      <c r="B19">
        <f>B18*L7</f>
        <v>1899.5939158221661</v>
      </c>
    </row>
    <row r="20" spans="1:2" x14ac:dyDescent="0.35">
      <c r="A20" s="1" t="s">
        <v>84</v>
      </c>
      <c r="B20">
        <f>B9+B10+B19</f>
        <v>2950.2101553386492</v>
      </c>
    </row>
    <row r="21" spans="1:2" x14ac:dyDescent="0.35">
      <c r="A21" s="1" t="s">
        <v>85</v>
      </c>
      <c r="B21">
        <f>'DCF Bull'!B21</f>
        <v>2950.2101553386487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92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93</v>
      </c>
      <c r="B8">
        <v>8.7866067547800103E-2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8.7866067547800103E-2</v>
      </c>
    </row>
    <row r="12" spans="1:12" x14ac:dyDescent="0.35">
      <c r="A12" s="1" t="s">
        <v>96</v>
      </c>
      <c r="B12">
        <f>1-B10/B11</f>
        <v>0.7723808455508745</v>
      </c>
    </row>
    <row r="13" spans="1:12" x14ac:dyDescent="0.35">
      <c r="A13" s="1" t="s">
        <v>97</v>
      </c>
      <c r="B13">
        <f>L3*(1+B10)*B12</f>
        <v>6.787159330101395</v>
      </c>
    </row>
    <row r="14" spans="1:12" x14ac:dyDescent="0.35">
      <c r="A14" s="1" t="s">
        <v>98</v>
      </c>
      <c r="B14">
        <f>B13/(B8-B10)</f>
        <v>100.00814214439337</v>
      </c>
    </row>
    <row r="15" spans="1:12" x14ac:dyDescent="0.35">
      <c r="A15" s="1" t="s">
        <v>56</v>
      </c>
      <c r="B15">
        <f>B14*L6</f>
        <v>43.08053161345115</v>
      </c>
    </row>
    <row r="16" spans="1:12" x14ac:dyDescent="0.35">
      <c r="A16" s="1" t="s">
        <v>99</v>
      </c>
      <c r="B16">
        <f>SUM(C7:L7)</f>
        <v>29.602437071246385</v>
      </c>
    </row>
    <row r="17" spans="1:2" x14ac:dyDescent="0.35">
      <c r="A17" s="1" t="s">
        <v>67</v>
      </c>
      <c r="B17">
        <f>B16+B15</f>
        <v>72.682968684697528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65.8935546875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898.3441610595703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927.20916105957031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8.2798360574686587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1016.4815442807617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484.42354428076169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39.507955199999998</v>
      </c>
      <c r="D24">
        <f>B15*C29</f>
        <v>36.790171917194677</v>
      </c>
      <c r="E24">
        <f>B15*D29</f>
        <v>33.435995359808537</v>
      </c>
      <c r="F24">
        <f>B15*E29</f>
        <v>29.462393198855555</v>
      </c>
      <c r="G24">
        <f>B15*F29</f>
        <v>24.802343484137754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30.421125503999999</v>
      </c>
      <c r="D26">
        <f>D24*(1-D25)</f>
        <v>28.328432376239903</v>
      </c>
      <c r="E26">
        <f>E24*(1-E25)</f>
        <v>25.745716427052574</v>
      </c>
      <c r="F26">
        <f>F24*(1-F25)</f>
        <v>22.686042763118778</v>
      </c>
      <c r="G26">
        <f>G24*(1-G25)</f>
        <v>19.097804482786071</v>
      </c>
    </row>
    <row r="27" spans="1:7" x14ac:dyDescent="0.35">
      <c r="A27" s="1" t="s">
        <v>124</v>
      </c>
      <c r="C27">
        <f>C23-C26</f>
        <v>34.665603097006624</v>
      </c>
      <c r="D27">
        <f>D23-D26</f>
        <v>42.782864252374281</v>
      </c>
      <c r="E27">
        <f>E23-E26</f>
        <v>50.683701032563505</v>
      </c>
      <c r="F27">
        <f>F23-F26</f>
        <v>59.439409626502524</v>
      </c>
      <c r="G27">
        <f>G23-G26</f>
        <v>71.792950256527462</v>
      </c>
    </row>
    <row r="28" spans="1:7" x14ac:dyDescent="0.35">
      <c r="A28" s="1" t="s">
        <v>125</v>
      </c>
      <c r="C28">
        <f>IF(C27&gt;B12,B12,C27)</f>
        <v>34.665603097006624</v>
      </c>
      <c r="D28">
        <f>IF(D27&gt;C29,C29,D27)</f>
        <v>42.782864252374281</v>
      </c>
      <c r="E28">
        <f>IF(E27&gt;D29,D29,E27)</f>
        <v>50.683701032563505</v>
      </c>
      <c r="F28">
        <f>IF(F27&gt;E29,E29,F27)</f>
        <v>59.439409626502524</v>
      </c>
      <c r="G28">
        <f>IF(G27&gt;F29,F29,G27)</f>
        <v>71.792950256527462</v>
      </c>
    </row>
    <row r="29" spans="1:7" x14ac:dyDescent="0.35">
      <c r="A29" s="1" t="s">
        <v>126</v>
      </c>
      <c r="B29">
        <f>B12</f>
        <v>503.928</v>
      </c>
      <c r="C29">
        <f>B12-C28</f>
        <v>469.26239690299337</v>
      </c>
      <c r="D29">
        <f>C29-D28</f>
        <v>426.47953265061909</v>
      </c>
      <c r="E29">
        <f>D29-E28</f>
        <v>375.79583161805556</v>
      </c>
      <c r="F29">
        <f>E29-F28</f>
        <v>316.35642199155302</v>
      </c>
      <c r="G29">
        <f>F29-G28</f>
        <v>244.56347173502556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</v>
      </c>
    </row>
    <row r="31" spans="1:7" x14ac:dyDescent="0.35">
      <c r="A31" s="1" t="s">
        <v>128</v>
      </c>
      <c r="B31">
        <v>11.090646475186521</v>
      </c>
    </row>
    <row r="32" spans="1:7" x14ac:dyDescent="0.35">
      <c r="A32" s="1" t="s">
        <v>129</v>
      </c>
      <c r="B32">
        <f>B31*G22</f>
        <v>1693.0441121442741</v>
      </c>
    </row>
    <row r="33" spans="1:2" x14ac:dyDescent="0.35">
      <c r="A33" s="1" t="s">
        <v>130</v>
      </c>
      <c r="B33">
        <f>B32-G29+G30</f>
        <v>1478.4806404092485</v>
      </c>
    </row>
    <row r="34" spans="1:2" x14ac:dyDescent="0.35">
      <c r="A34" s="1" t="s">
        <v>131</v>
      </c>
      <c r="B34">
        <f>B33/B20</f>
        <v>3.0520412516373323</v>
      </c>
    </row>
    <row r="35" spans="1:2" x14ac:dyDescent="0.35">
      <c r="A35" s="1" t="s">
        <v>132</v>
      </c>
      <c r="B35">
        <f>B34^(1/5)-1</f>
        <v>0.25002321847155828</v>
      </c>
    </row>
    <row r="36" spans="1:2" x14ac:dyDescent="0.35">
      <c r="A36" s="1" t="s">
        <v>133</v>
      </c>
      <c r="B36">
        <v>0.25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75.859375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1034.2108103906251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1063.0758103906251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9.4931044648398437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1156.4653265984377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568.41532659843779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43.897727999999994</v>
      </c>
      <c r="D24">
        <f>B15*C29</f>
        <v>41.444946521585074</v>
      </c>
      <c r="E24">
        <f>B15*D29</f>
        <v>38.371769397516772</v>
      </c>
      <c r="F24">
        <f>B15*E29</f>
        <v>34.696130043672163</v>
      </c>
      <c r="G24">
        <f>B15*F29</f>
        <v>30.352030554802255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33.801250559999993</v>
      </c>
      <c r="D26">
        <f>D24*(1-D25)</f>
        <v>31.912608821620509</v>
      </c>
      <c r="E26">
        <f>E24*(1-E25)</f>
        <v>29.546262436087915</v>
      </c>
      <c r="F26">
        <f>F24*(1-F25)</f>
        <v>26.716020133627566</v>
      </c>
      <c r="G26">
        <f>G24*(1-G25)</f>
        <v>23.371063527197737</v>
      </c>
    </row>
    <row r="27" spans="1:7" x14ac:dyDescent="0.35">
      <c r="A27" s="1" t="s">
        <v>124</v>
      </c>
      <c r="C27">
        <f>C23-C26</f>
        <v>31.285478041006634</v>
      </c>
      <c r="D27">
        <f>D23-D26</f>
        <v>39.198687806993675</v>
      </c>
      <c r="E27">
        <f>E23-E26</f>
        <v>46.883155023528161</v>
      </c>
      <c r="F27">
        <f>F23-F26</f>
        <v>55.409432255993735</v>
      </c>
      <c r="G27">
        <f>G23-G26</f>
        <v>67.519691212115802</v>
      </c>
    </row>
    <row r="28" spans="1:7" x14ac:dyDescent="0.35">
      <c r="A28" s="1" t="s">
        <v>125</v>
      </c>
      <c r="C28">
        <f>IF(C27&gt;B12,B12,C27)</f>
        <v>31.285478041006634</v>
      </c>
      <c r="D28">
        <f>IF(D27&gt;C29,C29,D27)</f>
        <v>39.198687806993675</v>
      </c>
      <c r="E28">
        <f>IF(E27&gt;D29,D29,E27)</f>
        <v>46.883155023528161</v>
      </c>
      <c r="F28">
        <f>IF(F27&gt;E29,E29,F27)</f>
        <v>55.409432255993735</v>
      </c>
      <c r="G28">
        <f>IF(G27&gt;F29,F29,G27)</f>
        <v>67.519691212115802</v>
      </c>
    </row>
    <row r="29" spans="1:7" x14ac:dyDescent="0.35">
      <c r="A29" s="1" t="s">
        <v>126</v>
      </c>
      <c r="B29">
        <f>B12</f>
        <v>559.91999999999996</v>
      </c>
      <c r="C29">
        <f>B12-C28</f>
        <v>528.63452195899333</v>
      </c>
      <c r="D29">
        <f>C29-D28</f>
        <v>489.43583415199964</v>
      </c>
      <c r="E29">
        <f>D29-E28</f>
        <v>442.55267912847148</v>
      </c>
      <c r="F29">
        <f>E29-F28</f>
        <v>387.14324687247773</v>
      </c>
      <c r="G29">
        <f>F29-G28</f>
        <v>319.62355566036194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</v>
      </c>
    </row>
    <row r="31" spans="1:7" x14ac:dyDescent="0.35">
      <c r="A31" s="1" t="s">
        <v>128</v>
      </c>
      <c r="B31">
        <v>11.162988929834521</v>
      </c>
    </row>
    <row r="32" spans="1:7" x14ac:dyDescent="0.35">
      <c r="A32" s="1" t="s">
        <v>129</v>
      </c>
      <c r="B32">
        <f>B31*G22</f>
        <v>1704.0875591763192</v>
      </c>
    </row>
    <row r="33" spans="1:2" x14ac:dyDescent="0.35">
      <c r="A33" s="1" t="s">
        <v>130</v>
      </c>
      <c r="B33">
        <f>B32-G29+G30</f>
        <v>1414.4640035159573</v>
      </c>
    </row>
    <row r="34" spans="1:2" x14ac:dyDescent="0.35">
      <c r="A34" s="1" t="s">
        <v>131</v>
      </c>
      <c r="B34">
        <f>B33/B20</f>
        <v>2.488433962505058</v>
      </c>
    </row>
    <row r="35" spans="1:2" x14ac:dyDescent="0.35">
      <c r="A35" s="1" t="s">
        <v>132</v>
      </c>
      <c r="B35">
        <f>B34^(1/5)-1</f>
        <v>0.20001099155260116</v>
      </c>
    </row>
    <row r="36" spans="1:2" x14ac:dyDescent="0.35">
      <c r="A36" s="1" t="s">
        <v>133</v>
      </c>
      <c r="B36">
        <v>0.2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107.8955078125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1470.9678345263671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1499.8328345263672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13.393277919402479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1603.3572912168945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959.31529121689459</v>
      </c>
    </row>
    <row r="21" spans="1:7" x14ac:dyDescent="0.35">
      <c r="A21" s="1" t="s">
        <v>41</v>
      </c>
      <c r="C21">
        <f>'DCF Base'!C4</f>
        <v>642.5</v>
      </c>
      <c r="D21">
        <f>'DCF Base'!D4</f>
        <v>679.82720946465338</v>
      </c>
      <c r="E21">
        <f>'DCF Base'!E4</f>
        <v>719.32301125058007</v>
      </c>
      <c r="F21">
        <f>'DCF Base'!F4</f>
        <v>761.11339368434756</v>
      </c>
      <c r="G21">
        <f>'DCF Base'!G4</f>
        <v>805.33166461416681</v>
      </c>
    </row>
    <row r="22" spans="1:7" x14ac:dyDescent="0.35">
      <c r="A22" s="1" t="s">
        <v>120</v>
      </c>
      <c r="C22">
        <f>'DCF Base'!C6+C21*(B39-B38)</f>
        <v>114.90614450349602</v>
      </c>
      <c r="D22">
        <f>'DCF Base'!D6+D21*(B39-B38)</f>
        <v>124.49511982082481</v>
      </c>
      <c r="E22">
        <f>'DCF Base'!E6+E21*(B39-B38)</f>
        <v>133.26916406523574</v>
      </c>
      <c r="F22">
        <f>'DCF Base'!F6+F21*(B39-B38)</f>
        <v>142.64249549073159</v>
      </c>
      <c r="G22">
        <f>'DCF Base'!G6+G21*(B39-B38)</f>
        <v>152.65513294758597</v>
      </c>
    </row>
    <row r="23" spans="1:7" x14ac:dyDescent="0.35">
      <c r="A23" s="1" t="s">
        <v>121</v>
      </c>
      <c r="C23">
        <f>'DCF Base'!C11</f>
        <v>65.086728601006627</v>
      </c>
      <c r="D23">
        <f>'DCF Base'!D11</f>
        <v>71.111296628614184</v>
      </c>
      <c r="E23">
        <f>'DCF Base'!E11</f>
        <v>76.429417459616076</v>
      </c>
      <c r="F23">
        <f>'DCF Base'!F11</f>
        <v>82.125452389621302</v>
      </c>
      <c r="G23">
        <f>'DCF Base'!G11</f>
        <v>90.890754739313536</v>
      </c>
    </row>
    <row r="24" spans="1:7" x14ac:dyDescent="0.35">
      <c r="A24" s="1" t="s">
        <v>122</v>
      </c>
      <c r="C24">
        <f>B15*B12</f>
        <v>48.287500799999989</v>
      </c>
      <c r="D24">
        <f>B15*C29</f>
        <v>46.099721125975471</v>
      </c>
      <c r="E24">
        <f>B15*D29</f>
        <v>43.307543435225007</v>
      </c>
      <c r="F24">
        <f>B15*E29</f>
        <v>39.929866888488775</v>
      </c>
      <c r="G24">
        <f>B15*F29</f>
        <v>35.901717625466752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37.18137561599999</v>
      </c>
      <c r="D26">
        <f>D24*(1-D25)</f>
        <v>35.496785267001115</v>
      </c>
      <c r="E26">
        <f>E24*(1-E25)</f>
        <v>33.346808445123258</v>
      </c>
      <c r="F26">
        <f>F24*(1-F25)</f>
        <v>30.745997504136358</v>
      </c>
      <c r="G26">
        <f>G24*(1-G25)</f>
        <v>27.644322571609401</v>
      </c>
    </row>
    <row r="27" spans="1:7" x14ac:dyDescent="0.35">
      <c r="A27" s="1" t="s">
        <v>124</v>
      </c>
      <c r="C27">
        <f>C23-C26</f>
        <v>27.905352985006637</v>
      </c>
      <c r="D27">
        <f>D23-D26</f>
        <v>35.614511361613069</v>
      </c>
      <c r="E27">
        <f>E23-E26</f>
        <v>43.082609014492817</v>
      </c>
      <c r="F27">
        <f>F23-F26</f>
        <v>51.379454885484947</v>
      </c>
      <c r="G27">
        <f>G23-G26</f>
        <v>63.246432167704135</v>
      </c>
    </row>
    <row r="28" spans="1:7" x14ac:dyDescent="0.35">
      <c r="A28" s="1" t="s">
        <v>125</v>
      </c>
      <c r="C28">
        <f>IF(C27&gt;B12,B12,C27)</f>
        <v>27.905352985006637</v>
      </c>
      <c r="D28">
        <f>IF(D27&gt;C29,C29,D27)</f>
        <v>35.614511361613069</v>
      </c>
      <c r="E28">
        <f>IF(E27&gt;D29,D29,E27)</f>
        <v>43.082609014492817</v>
      </c>
      <c r="F28">
        <f>IF(F27&gt;E29,E29,F27)</f>
        <v>51.379454885484947</v>
      </c>
      <c r="G28">
        <f>IF(G27&gt;F29,F29,G27)</f>
        <v>63.246432167704135</v>
      </c>
    </row>
    <row r="29" spans="1:7" x14ac:dyDescent="0.35">
      <c r="A29" s="1" t="s">
        <v>126</v>
      </c>
      <c r="B29">
        <f>B12</f>
        <v>615.91199999999992</v>
      </c>
      <c r="C29">
        <f>B12-C28</f>
        <v>588.00664701499329</v>
      </c>
      <c r="D29">
        <f>C29-D28</f>
        <v>552.39213565338025</v>
      </c>
      <c r="E29">
        <f>D29-E28</f>
        <v>509.30952663888741</v>
      </c>
      <c r="F29">
        <f>E29-F28</f>
        <v>457.93007175340244</v>
      </c>
      <c r="G29">
        <f>F29-G28</f>
        <v>394.6836395856983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</v>
      </c>
      <c r="E30">
        <f>D30+E27-E28</f>
        <v>30</v>
      </c>
      <c r="F30">
        <f>E30+F27-F28</f>
        <v>30</v>
      </c>
      <c r="G30">
        <f>F30+G27-G28</f>
        <v>30.000000000000007</v>
      </c>
    </row>
    <row r="31" spans="1:7" x14ac:dyDescent="0.35">
      <c r="A31" s="1" t="s">
        <v>128</v>
      </c>
      <c r="B31">
        <v>16.46425504632656</v>
      </c>
    </row>
    <row r="32" spans="1:7" x14ac:dyDescent="0.35">
      <c r="A32" s="1" t="s">
        <v>129</v>
      </c>
      <c r="B32">
        <f>B31*G22</f>
        <v>2513.3530429799443</v>
      </c>
    </row>
    <row r="33" spans="1:2" x14ac:dyDescent="0.35">
      <c r="A33" s="1" t="s">
        <v>130</v>
      </c>
      <c r="B33">
        <f>B32-G29+G30</f>
        <v>2148.6694033942458</v>
      </c>
    </row>
    <row r="34" spans="1:2" x14ac:dyDescent="0.35">
      <c r="A34" s="1" t="s">
        <v>131</v>
      </c>
      <c r="B34">
        <f>B33/B20</f>
        <v>2.2397948026749908</v>
      </c>
    </row>
    <row r="35" spans="1:2" x14ac:dyDescent="0.35">
      <c r="A35" s="1" t="s">
        <v>132</v>
      </c>
      <c r="B35">
        <f>B34^(1/5)-1</f>
        <v>0.17501022671377831</v>
      </c>
    </row>
    <row r="36" spans="1:2" x14ac:dyDescent="0.35">
      <c r="A36" s="1" t="s">
        <v>133</v>
      </c>
      <c r="B36">
        <v>0.17499999999999999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140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145</v>
      </c>
      <c r="B10">
        <v>3.2258064516129031E-2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491.44894381234081</v>
      </c>
    </row>
    <row r="15" spans="1:12" x14ac:dyDescent="0.35">
      <c r="A15" s="1" t="s">
        <v>56</v>
      </c>
      <c r="B15">
        <f>B14*L8</f>
        <v>240.64681374077162</v>
      </c>
    </row>
    <row r="16" spans="1:12" x14ac:dyDescent="0.35">
      <c r="A16" s="1" t="s">
        <v>150</v>
      </c>
      <c r="B16">
        <f>SUM(C9:L9)</f>
        <v>112.65787059301752</v>
      </c>
    </row>
    <row r="17" spans="1:2" x14ac:dyDescent="0.35">
      <c r="A17" s="1" t="s">
        <v>151</v>
      </c>
      <c r="B17">
        <f>B16+B15</f>
        <v>353.30468433378917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25.914902715057224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151.2500731476251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140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145</v>
      </c>
      <c r="B10">
        <v>4.8202996236254951E-2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734.36865925582993</v>
      </c>
    </row>
    <row r="15" spans="1:12" x14ac:dyDescent="0.35">
      <c r="A15" s="1" t="s">
        <v>56</v>
      </c>
      <c r="B15">
        <f>B14*L8</f>
        <v>359.59682116740805</v>
      </c>
    </row>
    <row r="16" spans="1:12" x14ac:dyDescent="0.35">
      <c r="A16" s="1" t="s">
        <v>150</v>
      </c>
      <c r="B16">
        <f>SUM(C9:L9)</f>
        <v>168.34385427757132</v>
      </c>
    </row>
    <row r="17" spans="1:2" x14ac:dyDescent="0.35">
      <c r="A17" s="1" t="s">
        <v>151</v>
      </c>
      <c r="B17">
        <f>B16+B15</f>
        <v>527.94067544497943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38.724454699141319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164.0596251317092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140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143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144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145</v>
      </c>
      <c r="B10">
        <v>6.9767441860465115E-2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7.4013719318297547E-2</v>
      </c>
    </row>
    <row r="14" spans="1:12" x14ac:dyDescent="0.35">
      <c r="A14" s="1" t="s">
        <v>149</v>
      </c>
      <c r="B14">
        <f>L4*(1+B12)*(1-'DCF Base'!M7)/(B13-B12)</f>
        <v>1062.9012040592488</v>
      </c>
    </row>
    <row r="15" spans="1:12" x14ac:dyDescent="0.35">
      <c r="A15" s="1" t="s">
        <v>56</v>
      </c>
      <c r="B15">
        <f>B14*L8</f>
        <v>520.46869018352936</v>
      </c>
    </row>
    <row r="16" spans="1:12" x14ac:dyDescent="0.35">
      <c r="A16" s="1" t="s">
        <v>150</v>
      </c>
      <c r="B16">
        <f>SUM(C9:L9)</f>
        <v>243.65539453838673</v>
      </c>
    </row>
    <row r="17" spans="1:2" x14ac:dyDescent="0.35">
      <c r="A17" s="1" t="s">
        <v>151</v>
      </c>
      <c r="B17">
        <f>B16+B15</f>
        <v>764.12408472191612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56.048510523263296</v>
      </c>
    </row>
    <row r="20" spans="1:2" x14ac:dyDescent="0.35">
      <c r="A20" s="1" t="s">
        <v>154</v>
      </c>
      <c r="B20">
        <f>'DCF Base'!B30</f>
        <v>125.33517043256788</v>
      </c>
    </row>
    <row r="21" spans="1:2" x14ac:dyDescent="0.35">
      <c r="A21" s="1" t="s">
        <v>155</v>
      </c>
      <c r="B21">
        <f>B20+B19</f>
        <v>181.38368095583118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156</v>
      </c>
      <c r="C1" s="1" t="s">
        <v>152</v>
      </c>
      <c r="D1" s="1" t="s">
        <v>157</v>
      </c>
      <c r="E1" s="1" t="s">
        <v>59</v>
      </c>
      <c r="F1" s="1" t="s">
        <v>60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</row>
    <row r="2" spans="1:15" x14ac:dyDescent="0.35">
      <c r="A2" s="1" t="s">
        <v>167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168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169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170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171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175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176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177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178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179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180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</row>
    <row r="2" spans="1:9" x14ac:dyDescent="0.35">
      <c r="A2" s="1" t="s">
        <v>196</v>
      </c>
      <c r="B2" t="s">
        <v>181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197</v>
      </c>
      <c r="B3" t="s">
        <v>182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198</v>
      </c>
      <c r="B4" t="s">
        <v>183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199</v>
      </c>
      <c r="B5" t="s">
        <v>184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200</v>
      </c>
      <c r="B6" t="s">
        <v>185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201</v>
      </c>
      <c r="B7" t="s">
        <v>186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202</v>
      </c>
      <c r="B8" t="s">
        <v>187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177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203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179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180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67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2026-10-29T16:59:06Z</dcterms:created>
  <dcterms:modified xsi:type="dcterms:W3CDTF">2026-10-29T16:59:13Z</dcterms:modified>
</cp:coreProperties>
</file>