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D40_Summary" sheetId="1" r:id="rId1"/>
    <sheet name="WD40_Methods" sheetId="2" r:id="rId2"/>
    <sheet name="WD40_Regions_bear" sheetId="3" r:id="rId3"/>
    <sheet name="WD40_Regions_base" sheetId="4" r:id="rId4"/>
    <sheet name="WD40_Regions_bull" sheetId="5" r:id="rId5"/>
    <sheet name="WD40_Inputs_original" sheetId="6" r:id="rId6"/>
    <sheet name="WD40_DCF_original" sheetId="7" r:id="rId7"/>
    <sheet name="WD40_Inputs_bear" sheetId="8" r:id="rId8"/>
    <sheet name="WD40_DCF_bear" sheetId="9" r:id="rId9"/>
    <sheet name="WD40_Inputs_base" sheetId="10" r:id="rId10"/>
    <sheet name="WD40_DCF_base" sheetId="11" r:id="rId11"/>
    <sheet name="WD40_Inputs_bull" sheetId="12" r:id="rId12"/>
    <sheet name="WD40_DCF_bull" sheetId="13" r:id="rId13"/>
    <sheet name="WD40_Precedents" sheetId="14" r:id="rId14"/>
    <sheet name="WD40_LBO" sheetId="15" r:id="rId15"/>
    <sheet name="WD40_DDM" sheetId="16" r:id="rId16"/>
    <sheet name="WD40_Synergies" sheetId="17" r:id="rId17"/>
    <sheet name="WD40_Basis" sheetId="18" r:id="rId18"/>
    <sheet name="WD40_Questions" sheetId="19" r:id="rId19"/>
    <sheet name="WD40_Sources" sheetId="20" r:id="rId20"/>
  </sheets>
  <calcPr calcId="124519" fullCalcOnLoad="1"/>
</workbook>
</file>

<file path=xl/sharedStrings.xml><?xml version="1.0" encoding="utf-8"?>
<sst xmlns="http://schemas.openxmlformats.org/spreadsheetml/2006/main" count="1490" uniqueCount="899">
  <si>
    <t>e4c1895827e92d2759c61c3392fe8d9bafdd00069c33ad8ba99cb38a559f8cab</t>
  </si>
  <si>
    <t>7c94e410363005ee306c3716110f2043a39411978dbc63b690807a6312846c44</t>
  </si>
  <si>
    <t>a3708c72cdd6414155499a3919eb1f26547f3aea16a29781732f53e4221c6525</t>
  </si>
  <si>
    <t>f23ba87d738fcf1f513ee37ad47bda6c395533da52e4d31c9cf7907fbb71b2fe</t>
  </si>
  <si>
    <t>original_snapshot</t>
  </si>
  <si>
    <t>analyst_assumption</t>
  </si>
  <si>
    <t>FY2025 retrospective; later filings with historical price</t>
  </si>
  <si>
    <t>2025-08-29</t>
  </si>
  <si>
    <t>Python/browser verification; native Excel calculation pending</t>
  </si>
  <si>
    <t>Original researched inputs</t>
  </si>
  <si>
    <t>Bear</t>
  </si>
  <si>
    <t>Base</t>
  </si>
  <si>
    <t>Bull</t>
  </si>
  <si>
    <t>DCF value / USD per share</t>
  </si>
  <si>
    <t>Operating value / USD m</t>
  </si>
  <si>
    <t>Equity value / USD m</t>
  </si>
  <si>
    <t>PV terminal value / USD m</t>
  </si>
  <si>
    <t>Terminal value share</t>
  </si>
  <si>
    <t>Historical reference / USD per share</t>
  </si>
  <si>
    <t>DCF / historical reference minus 1</t>
  </si>
  <si>
    <t>EVA minus DCF / USD m</t>
  </si>
  <si>
    <t>Scenario input hash</t>
  </si>
  <si>
    <t>Scenario classification</t>
  </si>
  <si>
    <t>Financial basis</t>
  </si>
  <si>
    <t>Price date</t>
  </si>
  <si>
    <t>Excel calculation status</t>
  </si>
  <si>
    <t>WD40_Summary</t>
  </si>
  <si>
    <t>Unavailable</t>
  </si>
  <si>
    <t>missing_data</t>
  </si>
  <si>
    <t>observed_multiple_percentiles</t>
  </si>
  <si>
    <t>At least three verified same-date observations are required. Percentiles are descriptive observations, not business scenarios. The WD-40 per-share denominator is a valuation dilution proxy.</t>
  </si>
  <si>
    <t>indicative</t>
  </si>
  <si>
    <t>announced_consideration_context</t>
  </si>
  <si>
    <t>Announced acquisition consideration is not a verified net-debt-adjusted EV. Adjacent oral-care and personal-care brands differ from maintenance products. Periods, growth and deal tax structures differ; no tax shield is subtracted. This contextual range does not establish a WD-40 control valuation.</t>
  </si>
  <si>
    <t>illustrative</t>
  </si>
  <si>
    <t>buyer_return_hurdles</t>
  </si>
  <si>
    <t>Leverage, debt pricing, fees and exit multiple are analyst assumptions. Forecast FCFF is a valuation proxy; no lender-approved financing is asserted. Forward reported EBITDA uses an explicit constant-margin R&amp;D and D&amp;A bridge. Entry EBITDA is operating EBIT plus cash-flow D&amp;A, not the issuer adjusted EBITDA measure. No interim sponsor distributions or additional equity contributions are modeled. The per-share denominator is the case dilution proxy.</t>
  </si>
  <si>
    <t>analyst_dividend_scenarios</t>
  </si>
  <si>
    <t>Dividend growth and cost of equity are explicit analyst assumptions, not a CAPM estimate. The $3.76 dividend is an annualized quarterly run rate, not total shareholder distributions. Payout coverage uses a constant-debt FCFE proxy; buybacks are not separately valued. Terminal dividend growth uses the operating case terminal growth.</t>
  </si>
  <si>
    <t>buyer_cost_savings_scenarios</t>
  </si>
  <si>
    <t>No identified buyer or verified synergy plan is asserted. Savings are incremental to standalone margins; no acquired growth is added. A one-year run-rate implementation cost is paid up front without an assumed tax shield. No acquisition premium allocation or negotiated seller share is assumed.</t>
  </si>
  <si>
    <t>Low / USD per share</t>
  </si>
  <si>
    <t>Central / USD per share</t>
  </si>
  <si>
    <t>High / USD per share</t>
  </si>
  <si>
    <t>Status</t>
  </si>
  <si>
    <t>Range interpretation</t>
  </si>
  <si>
    <t>Limitations</t>
  </si>
  <si>
    <t>Trading peers · EV/EBITDA</t>
  </si>
  <si>
    <t>Trading peers · P/E</t>
  </si>
  <si>
    <t>Trading peers · EV/sales</t>
  </si>
  <si>
    <t>Acquisition context · consideration/EBITDA</t>
  </si>
  <si>
    <t>LBO · sponsor ability to pay</t>
  </si>
  <si>
    <t>DDM · assumed dividend policy</t>
  </si>
  <si>
    <t>Strategic buyer · incremental synergies</t>
  </si>
  <si>
    <t>WD40_Methods</t>
  </si>
  <si>
    <t>Reported regional base; analyst growth and constant FX. Two Ginzu growth inputs preserve Y1/Y5 endpoints; other years differ.</t>
  </si>
  <si>
    <t>americas</t>
  </si>
  <si>
    <t>eimea</t>
  </si>
  <si>
    <t>asiaPacific</t>
  </si>
  <si>
    <t>Consolidated</t>
  </si>
  <si>
    <t>Reported FY2025 revenue / USD m</t>
  </si>
  <si>
    <t>Explicit divestment revenue removal / USD m</t>
  </si>
  <si>
    <t>Revenue after removal / USD m</t>
  </si>
  <si>
    <t>Analyst regional growth years 1-5</t>
  </si>
  <si>
    <t>Terminal growth</t>
  </si>
  <si>
    <t>Y1 revenue growth</t>
  </si>
  <si>
    <t>Y1 regional revenue / USD m</t>
  </si>
  <si>
    <t>Y1 compressed Ginzu revenue / USD m</t>
  </si>
  <si>
    <t>Y1 Ginzu minus regional revenue / USD m</t>
  </si>
  <si>
    <t>Y2 revenue growth</t>
  </si>
  <si>
    <t>Y2 regional revenue / USD m</t>
  </si>
  <si>
    <t>Y2 compressed Ginzu revenue / USD m</t>
  </si>
  <si>
    <t>Y2 Ginzu minus regional revenue / USD m</t>
  </si>
  <si>
    <t>Y3 revenue growth</t>
  </si>
  <si>
    <t>Y3 regional revenue / USD m</t>
  </si>
  <si>
    <t>Y3 compressed Ginzu revenue / USD m</t>
  </si>
  <si>
    <t>Y3 Ginzu minus regional revenue / USD m</t>
  </si>
  <si>
    <t>Y4 revenue growth</t>
  </si>
  <si>
    <t>Y4 regional revenue / USD m</t>
  </si>
  <si>
    <t>Y4 compressed Ginzu revenue / USD m</t>
  </si>
  <si>
    <t>Y4 Ginzu minus regional revenue / USD m</t>
  </si>
  <si>
    <t>Y5 revenue growth</t>
  </si>
  <si>
    <t>Y5 regional revenue / USD m</t>
  </si>
  <si>
    <t>Y5 compressed Ginzu revenue / USD m</t>
  </si>
  <si>
    <t>Y5 Ginzu minus regional revenue / USD m</t>
  </si>
  <si>
    <t>Y6 revenue growth</t>
  </si>
  <si>
    <t>Y6 regional revenue / USD m</t>
  </si>
  <si>
    <t>Y6 compressed Ginzu revenue / USD m</t>
  </si>
  <si>
    <t>Y6 Ginzu minus regional revenue / USD m</t>
  </si>
  <si>
    <t>Y7 revenue growth</t>
  </si>
  <si>
    <t>Y7 regional revenue / USD m</t>
  </si>
  <si>
    <t>Y7 compressed Ginzu revenue / USD m</t>
  </si>
  <si>
    <t>Y7 Ginzu minus regional revenue / USD m</t>
  </si>
  <si>
    <t>Y8 revenue growth</t>
  </si>
  <si>
    <t>Y8 regional revenue / USD m</t>
  </si>
  <si>
    <t>Y8 compressed Ginzu revenue / USD m</t>
  </si>
  <si>
    <t>Y8 Ginzu minus regional revenue / USD m</t>
  </si>
  <si>
    <t>Y9 revenue growth</t>
  </si>
  <si>
    <t>Y9 regional revenue / USD m</t>
  </si>
  <si>
    <t>Y9 compressed Ginzu revenue / USD m</t>
  </si>
  <si>
    <t>Y9 Ginzu minus regional revenue / USD m</t>
  </si>
  <si>
    <t>Y10 revenue growth</t>
  </si>
  <si>
    <t>Y10 regional revenue / USD m</t>
  </si>
  <si>
    <t>Y10 compressed Ginzu revenue / USD m</t>
  </si>
  <si>
    <t>Y10 Ginzu minus regional revenue / USD m</t>
  </si>
  <si>
    <t>Consolidated year-one growth</t>
  </si>
  <si>
    <t>Year-one to year-five revenue CAGR</t>
  </si>
  <si>
    <t>Basis and compression interpretation</t>
  </si>
  <si>
    <t>WD40_Regions_bear</t>
  </si>
  <si>
    <t>WD40_Regions_base</t>
  </si>
  <si>
    <t>WD40_Regions_bull</t>
  </si>
  <si>
    <t>Value</t>
  </si>
  <si>
    <t>Revenue FY2025 / USD m</t>
  </si>
  <si>
    <t>Reported EBIT FY2025 / USD m</t>
  </si>
  <si>
    <t>Adjusted book equity / USD m</t>
  </si>
  <si>
    <t>Interest-bearing debt / USD m</t>
  </si>
  <si>
    <t>Cash / USD m</t>
  </si>
  <si>
    <t>Nonoperating assets / USD m</t>
  </si>
  <si>
    <t>Minority interests / USD m</t>
  </si>
  <si>
    <t>Valuation dilution proxy / million shares</t>
  </si>
  <si>
    <t>Historical reference price / USD per share</t>
  </si>
  <si>
    <t>Normalized starting tax rate</t>
  </si>
  <si>
    <t>Terminal tax rate</t>
  </si>
  <si>
    <t>Revenue growth year 1</t>
  </si>
  <si>
    <t>Revenue growth years 2-5</t>
  </si>
  <si>
    <t>Adjusted EBIT margin year 1</t>
  </si>
  <si>
    <t>Target adjusted EBIT margin</t>
  </si>
  <si>
    <t>Margin convergence year</t>
  </si>
  <si>
    <t>Sales to capital years 1-5</t>
  </si>
  <si>
    <t>Sales to capital years 6-10</t>
  </si>
  <si>
    <t>WACC years 1-5</t>
  </si>
  <si>
    <t>Terminal WACC</t>
  </si>
  <si>
    <t>Use explicit terminal ROIC / 1=yes</t>
  </si>
  <si>
    <t>Explicit terminal ROIC</t>
  </si>
  <si>
    <t>Current R&amp;D / USD m</t>
  </si>
  <si>
    <t>R&amp;D amortization life / years</t>
  </si>
  <si>
    <t>Capitalize R&amp;D / 1=yes</t>
  </si>
  <si>
    <t>Starting NOL / USD m</t>
  </si>
  <si>
    <t>Hold starting tax rate / 1=yes</t>
  </si>
  <si>
    <t>Override reinvestment timing / 1=yes</t>
  </si>
  <si>
    <t>Reinvestment growth lead / years</t>
  </si>
  <si>
    <t>Distress probability</t>
  </si>
  <si>
    <t>Distress recovery fraction</t>
  </si>
  <si>
    <t>Use book-value distress basis / 1=yes</t>
  </si>
  <si>
    <t>Trapped overseas cash / USD m</t>
  </si>
  <si>
    <t>Overseas tax rate</t>
  </si>
  <si>
    <t>Apply trapped-cash tax / 1=yes</t>
  </si>
  <si>
    <t>R&amp;D 1 years prior / USD m</t>
  </si>
  <si>
    <t>R&amp;D 2 years prior / USD m</t>
  </si>
  <si>
    <t>R&amp;D 3 years prior / USD m</t>
  </si>
  <si>
    <t>R&amp;D 4 years prior / USD m</t>
  </si>
  <si>
    <t>R&amp;D amortization / USD m</t>
  </si>
  <si>
    <t>Unamortized R&amp;D asset / USD m</t>
  </si>
  <si>
    <t>R&amp;D-adjusted base EBIT / USD m</t>
  </si>
  <si>
    <t>Base invested capital / USD m</t>
  </si>
  <si>
    <t>Effective terminal tax rate</t>
  </si>
  <si>
    <t>Effective terminal ROIC</t>
  </si>
  <si>
    <t>Cash after explicit haircut / USD m</t>
  </si>
  <si>
    <t>WD40_Inputs_original</t>
  </si>
  <si>
    <t>Y1</t>
  </si>
  <si>
    <t>Y2</t>
  </si>
  <si>
    <t>Y3</t>
  </si>
  <si>
    <t>Y4</t>
  </si>
  <si>
    <t>Y5</t>
  </si>
  <si>
    <t>Y6</t>
  </si>
  <si>
    <t>Y7</t>
  </si>
  <si>
    <t>Y8</t>
  </si>
  <si>
    <t>Y9</t>
  </si>
  <si>
    <t>Y10</t>
  </si>
  <si>
    <t>Terminal</t>
  </si>
  <si>
    <t>Year</t>
  </si>
  <si>
    <t>Revenue growth</t>
  </si>
  <si>
    <t>Revenue / USD m</t>
  </si>
  <si>
    <t>Adjusted EBIT margin</t>
  </si>
  <si>
    <t>Adjusted EBIT / USD m</t>
  </si>
  <si>
    <t>Tax rate</t>
  </si>
  <si>
    <t>Opening NOL / USD m</t>
  </si>
  <si>
    <t>NOPAT / USD m</t>
  </si>
  <si>
    <t>Reinvestment / USD m</t>
  </si>
  <si>
    <t>FCFF / USD m</t>
  </si>
  <si>
    <t>Closing NOL / USD m</t>
  </si>
  <si>
    <t>WACC</t>
  </si>
  <si>
    <t>Cumulative discount factor</t>
  </si>
  <si>
    <t>PV FCFF / USD m</t>
  </si>
  <si>
    <t>Opening invested capital / USD m</t>
  </si>
  <si>
    <t>Closing invested capital / USD m</t>
  </si>
  <si>
    <t>Economic profit / USD m</t>
  </si>
  <si>
    <t>PV economic profit / USD m</t>
  </si>
  <si>
    <t>Sales to capital</t>
  </si>
  <si>
    <t>Terminal value / USD m</t>
  </si>
  <si>
    <t>PV forecast FCFF / USD m</t>
  </si>
  <si>
    <t>Undistressed operating value / USD m</t>
  </si>
  <si>
    <t>Distress proceeds / USD m</t>
  </si>
  <si>
    <t>Value per share / USD</t>
  </si>
  <si>
    <t>Terminal reinvestment rate</t>
  </si>
  <si>
    <t>EVA recurring terminal value / USD m</t>
  </si>
  <si>
    <t>EVA terminal capital transition / USD m</t>
  </si>
  <si>
    <t>EVA terminal value / USD m</t>
  </si>
  <si>
    <t>EVA operating value / USD m</t>
  </si>
  <si>
    <t>WD40_DCF_original</t>
  </si>
  <si>
    <t>WD40_Inputs_bear</t>
  </si>
  <si>
    <t>WD40_DCF_bear</t>
  </si>
  <si>
    <t>WD40_Inputs_base</t>
  </si>
  <si>
    <t>WD40_DCF_base</t>
  </si>
  <si>
    <t>WD40_Inputs_bull</t>
  </si>
  <si>
    <t>WD40_DCF_bull</t>
  </si>
  <si>
    <t>Waterpik</t>
  </si>
  <si>
    <t>chd-waterpik-announcement</t>
  </si>
  <si>
    <t>TheraBreath</t>
  </si>
  <si>
    <t>chd-therabreath-announcement</t>
  </si>
  <si>
    <t>Hero Cosmetics</t>
  </si>
  <si>
    <t>chd-hero-presentation</t>
  </si>
  <si>
    <t>Observed minimum</t>
  </si>
  <si>
    <t>Observed median</t>
  </si>
  <si>
    <t>Observed maximum</t>
  </si>
  <si>
    <t>Fixed observation statistic / rebuild after changes</t>
  </si>
  <si>
    <t>Target metric / USD m or EPS</t>
  </si>
  <si>
    <t>Net debt / USD m</t>
  </si>
  <si>
    <t>Indicative value / USD per share</t>
  </si>
  <si>
    <t>Observation basis</t>
  </si>
  <si>
    <t>Observation 1 multiple</t>
  </si>
  <si>
    <t>Observation 1 identity</t>
  </si>
  <si>
    <t>Observation 1 source IDs</t>
  </si>
  <si>
    <t>Observation 2 multiple</t>
  </si>
  <si>
    <t>Observation 2 identity</t>
  </si>
  <si>
    <t>Observation 2 source IDs</t>
  </si>
  <si>
    <t>Observation 3 multiple</t>
  </si>
  <si>
    <t>Observation 3 identity</t>
  </si>
  <si>
    <t>Observation 3 source IDs</t>
  </si>
  <si>
    <t>WD40_Precedents</t>
  </si>
  <si>
    <t>25.0% return hurdle</t>
  </si>
  <si>
    <t>20.0% return hurdle</t>
  </si>
  <si>
    <t>17.5% return hurdle</t>
  </si>
  <si>
    <t>Sponsor return hurdle</t>
  </si>
  <si>
    <t>Hold period / years</t>
  </si>
  <si>
    <t>Entry debt / reported EBITDA</t>
  </si>
  <si>
    <t>Debt interest rate</t>
  </si>
  <si>
    <t>Fixed exit EV / EBITDA</t>
  </si>
  <si>
    <t>Minimum operating cash / USD m</t>
  </si>
  <si>
    <t>Cash sweep fraction</t>
  </si>
  <si>
    <t>Mandatory annual fraction of initial debt</t>
  </si>
  <si>
    <t>Exit fees / exit enterprise value</t>
  </si>
  <si>
    <t>Transaction fees / entry enterprise value</t>
  </si>
  <si>
    <t>Financing fees / new debt</t>
  </si>
  <si>
    <t>Historical cash-flow D&amp;A / USD m</t>
  </si>
  <si>
    <t>Historical reported EBIT / USD m</t>
  </si>
  <si>
    <t>Historical revenue / USD m</t>
  </si>
  <si>
    <t>Existing refinanced debt / USD m</t>
  </si>
  <si>
    <t>Target cash / USD m</t>
  </si>
  <si>
    <t>R&amp;D adjusted EBIT uplift / historical sales</t>
  </si>
  <si>
    <t>Historical cash-flow D&amp;A / sales</t>
  </si>
  <si>
    <t>Historical reported EBITDA proxy / USD m</t>
  </si>
  <si>
    <t>New borrowing / USD m</t>
  </si>
  <si>
    <t>Target cash used at closing / USD m</t>
  </si>
  <si>
    <t>Cash retained before top-up / USD m</t>
  </si>
  <si>
    <t>Sponsor-funded cash top-up / USD m</t>
  </si>
  <si>
    <t>Y1 Revenue / USD m</t>
  </si>
  <si>
    <t>Y1 Adjusted EBIT / USD m</t>
  </si>
  <si>
    <t>Y1 Reported EBIT proxy / USD m</t>
  </si>
  <si>
    <t>Y1 EBITDA proxy / USD m</t>
  </si>
  <si>
    <t>Y1 FCFF proxy / USD m</t>
  </si>
  <si>
    <t>Y1 Tax rate</t>
  </si>
  <si>
    <t>Y1 Opening debt / USD m</t>
  </si>
  <si>
    <t>Y1 Interest / USD m</t>
  </si>
  <si>
    <t>Y1 Interest tax shield / USD m</t>
  </si>
  <si>
    <t>Y1 Opening cash / USD m</t>
  </si>
  <si>
    <t>Y1 Cash generated before principal / USD m</t>
  </si>
  <si>
    <t>Y1 Cash available above minimum / USD m</t>
  </si>
  <si>
    <t>Y1 Required amortization / USD m</t>
  </si>
  <si>
    <t>Y1 Funding feasible / 1=yes</t>
  </si>
  <si>
    <t>Y1 Mandatory amortization paid / USD m</t>
  </si>
  <si>
    <t>Y1 Additional cash sweep / USD m</t>
  </si>
  <si>
    <t>Y1 Closing debt / USD m</t>
  </si>
  <si>
    <t>Y1 Closing cash / USD m</t>
  </si>
  <si>
    <t>Y1 Funding shortfall / USD m</t>
  </si>
  <si>
    <t>Y2 Revenue / USD m</t>
  </si>
  <si>
    <t>Y2 Adjusted EBIT / USD m</t>
  </si>
  <si>
    <t>Y2 Reported EBIT proxy / USD m</t>
  </si>
  <si>
    <t>Y2 EBITDA proxy / USD m</t>
  </si>
  <si>
    <t>Y2 FCFF proxy / USD m</t>
  </si>
  <si>
    <t>Y2 Tax rate</t>
  </si>
  <si>
    <t>Y2 Opening debt / USD m</t>
  </si>
  <si>
    <t>Y2 Interest / USD m</t>
  </si>
  <si>
    <t>Y2 Interest tax shield / USD m</t>
  </si>
  <si>
    <t>Y2 Opening cash / USD m</t>
  </si>
  <si>
    <t>Y2 Cash generated before principal / USD m</t>
  </si>
  <si>
    <t>Y2 Cash available above minimum / USD m</t>
  </si>
  <si>
    <t>Y2 Required amortization / USD m</t>
  </si>
  <si>
    <t>Y2 Funding feasible / 1=yes</t>
  </si>
  <si>
    <t>Y2 Mandatory amortization paid / USD m</t>
  </si>
  <si>
    <t>Y2 Additional cash sweep / USD m</t>
  </si>
  <si>
    <t>Y2 Closing debt / USD m</t>
  </si>
  <si>
    <t>Y2 Closing cash / USD m</t>
  </si>
  <si>
    <t>Y2 Funding shortfall / USD m</t>
  </si>
  <si>
    <t>Y3 Revenue / USD m</t>
  </si>
  <si>
    <t>Y3 Adjusted EBIT / USD m</t>
  </si>
  <si>
    <t>Y3 Reported EBIT proxy / USD m</t>
  </si>
  <si>
    <t>Y3 EBITDA proxy / USD m</t>
  </si>
  <si>
    <t>Y3 FCFF proxy / USD m</t>
  </si>
  <si>
    <t>Y3 Tax rate</t>
  </si>
  <si>
    <t>Y3 Opening debt / USD m</t>
  </si>
  <si>
    <t>Y3 Interest / USD m</t>
  </si>
  <si>
    <t>Y3 Interest tax shield / USD m</t>
  </si>
  <si>
    <t>Y3 Opening cash / USD m</t>
  </si>
  <si>
    <t>Y3 Cash generated before principal / USD m</t>
  </si>
  <si>
    <t>Y3 Cash available above minimum / USD m</t>
  </si>
  <si>
    <t>Y3 Required amortization / USD m</t>
  </si>
  <si>
    <t>Y3 Funding feasible / 1=yes</t>
  </si>
  <si>
    <t>Y3 Mandatory amortization paid / USD m</t>
  </si>
  <si>
    <t>Y3 Additional cash sweep / USD m</t>
  </si>
  <si>
    <t>Y3 Closing debt / USD m</t>
  </si>
  <si>
    <t>Y3 Closing cash / USD m</t>
  </si>
  <si>
    <t>Y3 Funding shortfall / USD m</t>
  </si>
  <si>
    <t>Y4 Revenue / USD m</t>
  </si>
  <si>
    <t>Y4 Adjusted EBIT / USD m</t>
  </si>
  <si>
    <t>Y4 Reported EBIT proxy / USD m</t>
  </si>
  <si>
    <t>Y4 EBITDA proxy / USD m</t>
  </si>
  <si>
    <t>Y4 FCFF proxy / USD m</t>
  </si>
  <si>
    <t>Y4 Tax rate</t>
  </si>
  <si>
    <t>Y4 Opening debt / USD m</t>
  </si>
  <si>
    <t>Y4 Interest / USD m</t>
  </si>
  <si>
    <t>Y4 Interest tax shield / USD m</t>
  </si>
  <si>
    <t>Y4 Opening cash / USD m</t>
  </si>
  <si>
    <t>Y4 Cash generated before principal / USD m</t>
  </si>
  <si>
    <t>Y4 Cash available above minimum / USD m</t>
  </si>
  <si>
    <t>Y4 Required amortization / USD m</t>
  </si>
  <si>
    <t>Y4 Funding feasible / 1=yes</t>
  </si>
  <si>
    <t>Y4 Mandatory amortization paid / USD m</t>
  </si>
  <si>
    <t>Y4 Additional cash sweep / USD m</t>
  </si>
  <si>
    <t>Y4 Closing debt / USD m</t>
  </si>
  <si>
    <t>Y4 Closing cash / USD m</t>
  </si>
  <si>
    <t>Y4 Funding shortfall / USD m</t>
  </si>
  <si>
    <t>Y5 Revenue / USD m</t>
  </si>
  <si>
    <t>Y5 Adjusted EBIT / USD m</t>
  </si>
  <si>
    <t>Y5 Reported EBIT proxy / USD m</t>
  </si>
  <si>
    <t>Y5 EBITDA proxy / USD m</t>
  </si>
  <si>
    <t>Y5 FCFF proxy / USD m</t>
  </si>
  <si>
    <t>Y5 Tax rate</t>
  </si>
  <si>
    <t>Y5 Opening debt / USD m</t>
  </si>
  <si>
    <t>Y5 Interest / USD m</t>
  </si>
  <si>
    <t>Y5 Interest tax shield / USD m</t>
  </si>
  <si>
    <t>Y5 Opening cash / USD m</t>
  </si>
  <si>
    <t>Y5 Cash generated before principal / USD m</t>
  </si>
  <si>
    <t>Y5 Cash available above minimum / USD m</t>
  </si>
  <si>
    <t>Y5 Required amortization / USD m</t>
  </si>
  <si>
    <t>Y5 Funding feasible / 1=yes</t>
  </si>
  <si>
    <t>Y5 Mandatory amortization paid / USD m</t>
  </si>
  <si>
    <t>Y5 Additional cash sweep / USD m</t>
  </si>
  <si>
    <t>Y5 Closing debt / USD m</t>
  </si>
  <si>
    <t>Y5 Closing cash / USD m</t>
  </si>
  <si>
    <t>Y5 Funding shortfall / USD m</t>
  </si>
  <si>
    <t>Exit enterprise value / USD m</t>
  </si>
  <si>
    <t>Exit transaction fees / USD m</t>
  </si>
  <si>
    <t>Sponsor exit equity / USD m</t>
  </si>
  <si>
    <t>Entry equity capacity at hurdle / USD m</t>
  </si>
  <si>
    <t>Entry fixed uses net of other sources / USD m</t>
  </si>
  <si>
    <t>Analytic entry price before grid bounds / USD</t>
  </si>
  <si>
    <t>Ability to pay within $50-$400 grid / USD per share</t>
  </si>
  <si>
    <t>Target equity purchase / USD m</t>
  </si>
  <si>
    <t>Entry enterprise value / USD m</t>
  </si>
  <si>
    <t>Entry transaction fees / USD m</t>
  </si>
  <si>
    <t>Entry financing fees / USD m</t>
  </si>
  <si>
    <t>Total acquisition uses / USD m</t>
  </si>
  <si>
    <t>Sponsor initial equity / USD m</t>
  </si>
  <si>
    <t>Total acquisition sources / USD m</t>
  </si>
  <si>
    <t>Sources minus uses / USD m</t>
  </si>
  <si>
    <t>Sponsor MOIC</t>
  </si>
  <si>
    <t>Sponsor annualized IRR</t>
  </si>
  <si>
    <t>WD40_LBO</t>
  </si>
  <si>
    <t>5% dividend growth</t>
  </si>
  <si>
    <t>7% dividend growth</t>
  </si>
  <si>
    <t>9% dividend growth</t>
  </si>
  <si>
    <t>Annualized starting dividend / USD per share</t>
  </si>
  <si>
    <t>Stage-one dividend growth</t>
  </si>
  <si>
    <t>Terminal dividend growth</t>
  </si>
  <si>
    <t>Cost of equity / analyst assumption</t>
  </si>
  <si>
    <t>Stage-one horizon / years</t>
  </si>
  <si>
    <t>Historical interest expense / USD m</t>
  </si>
  <si>
    <t>Y1 dividend / USD per share</t>
  </si>
  <si>
    <t>Y1 discount factor</t>
  </si>
  <si>
    <t>Y1 PV dividend / USD per share</t>
  </si>
  <si>
    <t>Y1 constant-debt FCFE proxy / USD m</t>
  </si>
  <si>
    <t>Y1 total dividends / USD m</t>
  </si>
  <si>
    <t>Y1 payout covered / 1=yes</t>
  </si>
  <si>
    <t>Y2 dividend / USD per share</t>
  </si>
  <si>
    <t>Y2 discount factor</t>
  </si>
  <si>
    <t>Y2 PV dividend / USD per share</t>
  </si>
  <si>
    <t>Y2 constant-debt FCFE proxy / USD m</t>
  </si>
  <si>
    <t>Y2 total dividends / USD m</t>
  </si>
  <si>
    <t>Y2 payout covered / 1=yes</t>
  </si>
  <si>
    <t>Y3 dividend / USD per share</t>
  </si>
  <si>
    <t>Y3 discount factor</t>
  </si>
  <si>
    <t>Y3 PV dividend / USD per share</t>
  </si>
  <si>
    <t>Y3 constant-debt FCFE proxy / USD m</t>
  </si>
  <si>
    <t>Y3 total dividends / USD m</t>
  </si>
  <si>
    <t>Y3 payout covered / 1=yes</t>
  </si>
  <si>
    <t>Y4 dividend / USD per share</t>
  </si>
  <si>
    <t>Y4 discount factor</t>
  </si>
  <si>
    <t>Y4 PV dividend / USD per share</t>
  </si>
  <si>
    <t>Y4 constant-debt FCFE proxy / USD m</t>
  </si>
  <si>
    <t>Y4 total dividends / USD m</t>
  </si>
  <si>
    <t>Y4 payout covered / 1=yes</t>
  </si>
  <si>
    <t>Y5 dividend / USD per share</t>
  </si>
  <si>
    <t>Y5 discount factor</t>
  </si>
  <si>
    <t>Y5 PV dividend / USD per share</t>
  </si>
  <si>
    <t>Y5 constant-debt FCFE proxy / USD m</t>
  </si>
  <si>
    <t>Y5 total dividends / USD m</t>
  </si>
  <si>
    <t>Y5 payout covered / 1=yes</t>
  </si>
  <si>
    <t>Y6 dividend / USD per share</t>
  </si>
  <si>
    <t>Y6 discount factor</t>
  </si>
  <si>
    <t>Y6 PV dividend / USD per share</t>
  </si>
  <si>
    <t>Y6 constant-debt FCFE proxy / USD m</t>
  </si>
  <si>
    <t>Y6 total dividends / USD m</t>
  </si>
  <si>
    <t>Y6 payout covered / 1=yes</t>
  </si>
  <si>
    <t>Y7 dividend / USD per share</t>
  </si>
  <si>
    <t>Y7 discount factor</t>
  </si>
  <si>
    <t>Y7 PV dividend / USD per share</t>
  </si>
  <si>
    <t>Y7 constant-debt FCFE proxy / USD m</t>
  </si>
  <si>
    <t>Y7 total dividends / USD m</t>
  </si>
  <si>
    <t>Y7 payout covered / 1=yes</t>
  </si>
  <si>
    <t>Y8 dividend / USD per share</t>
  </si>
  <si>
    <t>Y8 discount factor</t>
  </si>
  <si>
    <t>Y8 PV dividend / USD per share</t>
  </si>
  <si>
    <t>Y8 constant-debt FCFE proxy / USD m</t>
  </si>
  <si>
    <t>Y8 total dividends / USD m</t>
  </si>
  <si>
    <t>Y8 payout covered / 1=yes</t>
  </si>
  <si>
    <t>Y9 dividend / USD per share</t>
  </si>
  <si>
    <t>Y9 discount factor</t>
  </si>
  <si>
    <t>Y9 PV dividend / USD per share</t>
  </si>
  <si>
    <t>Y9 constant-debt FCFE proxy / USD m</t>
  </si>
  <si>
    <t>Y9 total dividends / USD m</t>
  </si>
  <si>
    <t>Y9 payout covered / 1=yes</t>
  </si>
  <si>
    <t>Y10 dividend / USD per share</t>
  </si>
  <si>
    <t>Y10 discount factor</t>
  </si>
  <si>
    <t>Y10 PV dividend / USD per share</t>
  </si>
  <si>
    <t>Y10 constant-debt FCFE proxy / USD m</t>
  </si>
  <si>
    <t>Y10 total dividends / USD m</t>
  </si>
  <si>
    <t>Y10 payout covered / 1=yes</t>
  </si>
  <si>
    <t>Terminal dividend / USD per share</t>
  </si>
  <si>
    <t>Terminal value / USD per share</t>
  </si>
  <si>
    <t>PV terminal value / USD per share</t>
  </si>
  <si>
    <t>DDM value / USD per share</t>
  </si>
  <si>
    <t>Covered years / count</t>
  </si>
  <si>
    <t>WD40_DDM</t>
  </si>
  <si>
    <t>10% incremental cost savings</t>
  </si>
  <si>
    <t>20% incremental cost savings</t>
  </si>
  <si>
    <t>30% incremental cost savings</t>
  </si>
  <si>
    <t>Incremental cost savings fraction</t>
  </si>
  <si>
    <t>Historical cost base / USD m</t>
  </si>
  <si>
    <t>Years to full savings</t>
  </si>
  <si>
    <t>Upfront cost / initial annual savings / USD m</t>
  </si>
  <si>
    <t>Base revenue / USD m</t>
  </si>
  <si>
    <t>Standalone DCF / USD per share</t>
  </si>
  <si>
    <t>Y1 revenue / USD m</t>
  </si>
  <si>
    <t>Y1 ramp to full savings</t>
  </si>
  <si>
    <t>Y1 incremental pretax savings / USD m</t>
  </si>
  <si>
    <t>Y1 after-tax savings / USD m</t>
  </si>
  <si>
    <t>Y1 PV savings / USD m</t>
  </si>
  <si>
    <t>Y2 revenue / USD m</t>
  </si>
  <si>
    <t>Y2 ramp to full savings</t>
  </si>
  <si>
    <t>Y2 incremental pretax savings / USD m</t>
  </si>
  <si>
    <t>Y2 after-tax savings / USD m</t>
  </si>
  <si>
    <t>Y2 PV savings / USD m</t>
  </si>
  <si>
    <t>Y3 revenue / USD m</t>
  </si>
  <si>
    <t>Y3 ramp to full savings</t>
  </si>
  <si>
    <t>Y3 incremental pretax savings / USD m</t>
  </si>
  <si>
    <t>Y3 after-tax savings / USD m</t>
  </si>
  <si>
    <t>Y3 PV savings / USD m</t>
  </si>
  <si>
    <t>Y4 revenue / USD m</t>
  </si>
  <si>
    <t>Y4 ramp to full savings</t>
  </si>
  <si>
    <t>Y4 incremental pretax savings / USD m</t>
  </si>
  <si>
    <t>Y4 after-tax savings / USD m</t>
  </si>
  <si>
    <t>Y4 PV savings / USD m</t>
  </si>
  <si>
    <t>Y5 revenue / USD m</t>
  </si>
  <si>
    <t>Y5 ramp to full savings</t>
  </si>
  <si>
    <t>Y5 incremental pretax savings / USD m</t>
  </si>
  <si>
    <t>Y5 after-tax savings / USD m</t>
  </si>
  <si>
    <t>Y5 PV savings / USD m</t>
  </si>
  <si>
    <t>Y6 revenue / USD m</t>
  </si>
  <si>
    <t>Y6 ramp to full savings</t>
  </si>
  <si>
    <t>Y6 incremental pretax savings / USD m</t>
  </si>
  <si>
    <t>Y6 after-tax savings / USD m</t>
  </si>
  <si>
    <t>Y6 PV savings / USD m</t>
  </si>
  <si>
    <t>Y7 revenue / USD m</t>
  </si>
  <si>
    <t>Y7 ramp to full savings</t>
  </si>
  <si>
    <t>Y7 incremental pretax savings / USD m</t>
  </si>
  <si>
    <t>Y7 after-tax savings / USD m</t>
  </si>
  <si>
    <t>Y7 PV savings / USD m</t>
  </si>
  <si>
    <t>Y8 revenue / USD m</t>
  </si>
  <si>
    <t>Y8 ramp to full savings</t>
  </si>
  <si>
    <t>Y8 incremental pretax savings / USD m</t>
  </si>
  <si>
    <t>Y8 after-tax savings / USD m</t>
  </si>
  <si>
    <t>Y8 PV savings / USD m</t>
  </si>
  <si>
    <t>Y9 revenue / USD m</t>
  </si>
  <si>
    <t>Y9 ramp to full savings</t>
  </si>
  <si>
    <t>Y9 incremental pretax savings / USD m</t>
  </si>
  <si>
    <t>Y9 after-tax savings / USD m</t>
  </si>
  <si>
    <t>Y9 PV savings / USD m</t>
  </si>
  <si>
    <t>Y10 revenue / USD m</t>
  </si>
  <si>
    <t>Y10 ramp to full savings</t>
  </si>
  <si>
    <t>Y10 incremental pretax savings / USD m</t>
  </si>
  <si>
    <t>Y10 after-tax savings / USD m</t>
  </si>
  <si>
    <t>Y10 PV savings / USD m</t>
  </si>
  <si>
    <t>Terminal after-tax savings / USD m</t>
  </si>
  <si>
    <t>Terminal synergy value / USD m</t>
  </si>
  <si>
    <t>PV terminal synergies / USD m</t>
  </si>
  <si>
    <t>Net PV incremental synergies / USD m</t>
  </si>
  <si>
    <t>Buyer-specific value / USD per share</t>
  </si>
  <si>
    <t>WD40_Synergies</t>
  </si>
  <si>
    <t>Inspect editable assumptions and formulas behind the WD-40 retrospective demo.</t>
  </si>
  <si>
    <t>USD millions, except USD per share; shares are in millions.</t>
  </si>
  <si>
    <t>Historical 2025-08-29 reference; FY2025 results were published later.</t>
  </si>
  <si>
    <t>DCF denominator includes an explicit dilution proxy; it is not asserted as historical market shares outstanding.</t>
  </si>
  <si>
    <t>Named analyst scenarios are fixed snapshots, not statistical confidence intervals.</t>
  </si>
  <si>
    <t>Ginzu default uses next-year revenue increase, not same-year revenue increase.</t>
  </si>
  <si>
    <t>Adjusted EBIT adds current R&amp;D and subtracts amortization of capitalized historical R&amp;D.</t>
  </si>
  <si>
    <t>Recurring economic profit and terminal capital transition follow the same NOPAT and reinvestment paths.</t>
  </si>
  <si>
    <t>EVA is an algebraic consistency check of DCF, not independent valuation evidence.</t>
  </si>
  <si>
    <t>Formulas and Python cached values are exported; native Microsoft Excel calculation is pending.</t>
  </si>
  <si>
    <t>Trading peers · EV/EBITDA: missing_data. At least three verified same-date observations are required. Percentiles are descriptive observations, not business scenarios. The WD-40 per-share denominator is a valuation dilution proxy.</t>
  </si>
  <si>
    <t>Trading peers · P/E: missing_data. At least three verified same-date observations are required. Percentiles are descriptive observations, not business scenarios. The WD-40 per-share denominator is a valuation dilution proxy.</t>
  </si>
  <si>
    <t>Trading peers · EV/sales: missing_data. At least three verified same-date observations are required. Percentiles are descriptive observations, not business scenarios. The WD-40 per-share denominator is a valuation dilution proxy.</t>
  </si>
  <si>
    <t>Acquisition context · consideration/EBITDA: indicative. Announced acquisition consideration is not a verified net-debt-adjusted EV. Adjacent oral-care and personal-care brands differ from maintenance products. Periods, growth and deal tax structures differ; no tax shield is subtracted. This contextual range does not establish a WD-40 control valuation.</t>
  </si>
  <si>
    <t>LBO · sponsor ability to pay: illustrative. Leverage, debt pricing, fees and exit multiple are analyst assumptions. Forecast FCFF is a valuation proxy; no lender-approved financing is asserted. Forward reported EBITDA uses an explicit constant-margin R&amp;D and D&amp;A bridge. Entry EBITDA is operating EBIT plus cash-flow D&amp;A, not the issuer adjusted EBITDA measure. No interim sponsor distributions or additional equity contributions are modeled. The per-share denominator is the case dilution proxy.</t>
  </si>
  <si>
    <t>DDM · assumed dividend policy: illustrative. Dividend growth and cost of equity are explicit analyst assumptions, not a CAPM estimate. The $3.76 dividend is an annualized quarterly run rate, not total shareholder distributions. Payout coverage uses a constant-debt FCFE proxy; buybacks are not separately valued. Terminal dividend growth uses the operating case terminal growth.</t>
  </si>
  <si>
    <t>Strategic buyer · incremental synergies: illustrative. No identified buyer or verified synergy plan is asserted. Savings are incremental to standalone margins; no acquired growth is added. A one-year run-rate implementation cost is paid up front without an assumed tax shield. No acquisition premium allocation or negotiated seller share is assumed.</t>
  </si>
  <si>
    <t>FinanceBench public annotated sample · https://github.com/patronus-ai/financebench</t>
  </si>
  <si>
    <t>FinLFQA development / validation set · https://huggingface.co/datasets/Dragongon/FinLFQA</t>
  </si>
  <si>
    <t>PE Bench public Voltaic tasks and rubrics · https://github.com/GetCompoundAI/pe-bench</t>
  </si>
  <si>
    <t>FinCausal 2020 Task 2 practice cause-effect spans · https://github.com/yseop/YseopLab/tree/develop/FNP_2020_FinCausal</t>
  </si>
  <si>
    <t>FinTextQA publicly released policy / regulation QA · https://github.com/AlexJJJChen/FinTextQA</t>
  </si>
  <si>
    <t>Record</t>
  </si>
  <si>
    <t>Purpose</t>
  </si>
  <si>
    <t>Financial units</t>
  </si>
  <si>
    <t>Price basis</t>
  </si>
  <si>
    <t>Share count</t>
  </si>
  <si>
    <t>Scenario interpretation</t>
  </si>
  <si>
    <t>Reinvestment timing</t>
  </si>
  <si>
    <t>R&amp;D adjustment</t>
  </si>
  <si>
    <t>EVA terminal</t>
  </si>
  <si>
    <t>EVA interpretation</t>
  </si>
  <si>
    <t>Excel verification</t>
  </si>
  <si>
    <t>Method comps-ev-ebitda</t>
  </si>
  <si>
    <t>Method comps-pe</t>
  </si>
  <si>
    <t>Method comps-ev-sales</t>
  </si>
  <si>
    <t>Method precedents</t>
  </si>
  <si>
    <t>Method lbo</t>
  </si>
  <si>
    <t>Method ddm</t>
  </si>
  <si>
    <t>Method synergy</t>
  </si>
  <si>
    <t>Question source 1</t>
  </si>
  <si>
    <t>Question source 2</t>
  </si>
  <si>
    <t>Question source 3</t>
  </si>
  <si>
    <t>Question source 4</t>
  </si>
  <si>
    <t>Question source 5</t>
  </si>
  <si>
    <t>WD40_Basis</t>
  </si>
  <si>
    <t>What FY2025 revenue anchors the WD-40 model?</t>
  </si>
  <si>
    <t>fact</t>
  </si>
  <si>
    <t>answered</t>
  </si>
  <si>
    <t>pe-bench</t>
  </si>
  <si>
    <t>voltaic-01-historicals</t>
  </si>
  <si>
    <t>Project Voltaic is a data centre platform we're looking at buying; the data room is attached. Build me a clean historicals workbook in Excel: income statement, balance sheet, cash flow statement and the operating KPIs (capacity, leased MW, occupancy) for FY2023 through FY2025, Q1 FY25 and Q1 FY26, and LTM through 3/31/26.</t>
  </si>
  <si>
    <t>The original audited-input proposals record FY2025 revenue of $619.985m and FY2024 revenue of $590.557m. Both are USD millions.</t>
  </si>
  <si>
    <t>Input sheet!B11, Input sheet!C11</t>
  </si>
  <si>
    <t>wdfc25-is</t>
  </si>
  <si>
    <t>What was reported FY2025 revenue growth, and is the forecast the same claim?</t>
  </si>
  <si>
    <t>financebench</t>
  </si>
  <si>
    <t>financebench_id_01198</t>
  </si>
  <si>
    <t>What drove revenue change as of the FY22 for AMD?</t>
  </si>
  <si>
    <t>Reported growth from the original revenue proposals is 4.9831%. The 5% next-year and years-2–5 inputs are explicit forward assumptions, not observed FY2026 growth.</t>
  </si>
  <si>
    <t>Input sheet!B11, Input sheet!C11, Input sheet!B26, Input sheet!B28</t>
  </si>
  <si>
    <t>Will WD-40 FY2026 reported net sales exceed the FY2025 reported base by at least 5%?</t>
  </si>
  <si>
    <t>forecast</t>
  </si>
  <si>
    <t>unresolved_forecast</t>
  </si>
  <si>
    <t>voltaic-07-operating-model</t>
  </si>
  <si>
    <t>Build me an operating model for Ironvale off the data room: drivers to EBITDA and EBIT, historicals through FY25 and a forecast to FY30. Include one toggle that switches the forecast between management's case and your buy-side case. Leave the model set to the buy-side case, and tell me where you land against management's plan. Put the model in Excel.</t>
  </si>
  <si>
    <t>No contemporaneous probability or FY2026 outcome is supplied in this historical case. This is a retrospective resolution template, not an advance forecast record.</t>
  </si>
  <si>
    <t>Input sheet!B11, Input sheet!B26</t>
  </si>
  <si>
    <t>What is WD-40 FY2025 reported operating margin?</t>
  </si>
  <si>
    <t>financebench_id_01226</t>
  </si>
  <si>
    <t>What drove operating margin change as of FY2022 for 3M? If operating margin is not a useful metric for a company like this, then please state that and explain why.</t>
  </si>
  <si>
    <t>$103.793m reported EBIT / $619.985m revenue = 16.7412%. This is the reported EBIT margin before the model’s R&amp;D adjustment.</t>
  </si>
  <si>
    <t>Input sheet!B11, Input sheet!B12</t>
  </si>
  <si>
    <t>Why does the original model use a 17.1068% operating margin rather than the reported margin?</t>
  </si>
  <si>
    <t>assumption</t>
  </si>
  <si>
    <t>voltaic-04-ebitda-bridge</t>
  </si>
  <si>
    <t>Bridge Project Voltaic's FY25 reported result to adjusted EBITDA for pricing from a buyer's perspective, using the data room. Put it in a workbook we can send to the seller's advisers.</t>
  </si>
  <si>
    <t>The original case capitalizes R&amp;D over a three-year assumed life. Its adjusted EBIT adds current R&amp;D and subtracts modeled amortization. The retained 17.1068% next-year and target margins use that adjusted base. R&amp;D capitalization and flat future margins are modeling choices.</t>
  </si>
  <si>
    <t>Input sheet!B12, Input sheet!B27, Input sheet!B29, R&amp; D converter!F6, R&amp; D converter!B6</t>
  </si>
  <si>
    <t>wdfc25-is, wdfc25-rd, wdfc23-rd</t>
  </si>
  <si>
    <t>What evidence would justify a 20% adjusted EBIT margin instead of the original flat margin?</t>
  </si>
  <si>
    <t>needs_evidence</t>
  </si>
  <si>
    <t>A higher target requires a bridge from sales and gross profit through operating expenses and R&amp;D treatment. The original case provides no sourced 20% EBIT target. An EBITDA target alone does not establish an EBIT margin.</t>
  </si>
  <si>
    <t>Input sheet!B27, Input sheet!B29, Input sheet!B30</t>
  </si>
  <si>
    <t>wdfc25-is, wdfc25-rd</t>
  </si>
  <si>
    <t>What was WD-40 FY2025 capital expenditure, and what percentage of revenue was it?</t>
  </si>
  <si>
    <t>financebench_id_03029</t>
  </si>
  <si>
    <t>What is the FY2018 capital expenditure amount (in USD millions) for 3M? Give a response to the question by relying on the details shown in the cash flow statement.</t>
  </si>
  <si>
    <t>The original proposal set does not include a separate verified capex input. Extract purchases of property, plant and equipment from the FY2025 cash-flow statement, document the sign convention, then divide by revenue. Do not substitute the model’s forecast reinvestment.</t>
  </si>
  <si>
    <t>Input sheet!B11</t>
  </si>
  <si>
    <t>wdfc25-cf</t>
  </si>
  <si>
    <t>Is the model’s 2.0× sales-to-capital ratio observed or assumed?</t>
  </si>
  <si>
    <t>financebench_id_00499</t>
  </si>
  <si>
    <t>Is 3M a capital-intensive business based on FY2022 data?</t>
  </si>
  <si>
    <t>Both forecast sales-to-capital ratios are explicit 2.0× assumptions. Historical revenue divided by book capital is a scale comparison, not a direct observation of the incremental reinvestment needed for future growth.</t>
  </si>
  <si>
    <t>Input sheet!B31, Input sheet!B32, Input sheet!B14, Input sheet!B15, Input sheet!B18</t>
  </si>
  <si>
    <t>wdfc25-bs, wdfc25-leases</t>
  </si>
  <si>
    <t>Which R&amp;D amounts support the model’s capitalization schedule?</t>
  </si>
  <si>
    <t>The recorded disclosures are $8.7m, $8.0m and $6.2m for FY2025–FY2023, and $5.1m for FY2022. The assumed three-year useful life determines which history enters amortization; it is not a disclosed accounting useful life for an R&amp;D asset.</t>
  </si>
  <si>
    <t>R&amp; D converter!B6, R&amp; D converter!B7, R&amp; D converter!B8, R&amp; D converter!B9, R&amp; D converter!F6</t>
  </si>
  <si>
    <t>wdfc25-rd, wdfc23-rd</t>
  </si>
  <si>
    <t>What modeled free cash flow is generated in the first forecast year?</t>
  </si>
  <si>
    <t>financebench_id_04854</t>
  </si>
  <si>
    <t>According to the information provided in the statement of cash flows, what is the FY2020 free cash flow (FCF) for General Mills? FCF here is defined as: (cash from operations - capex). Answer in USD millions.</t>
  </si>
  <si>
    <t>Inspect modeled NOPAT less modeled reinvestment in the linked forecast cells. These are forecast FCFF values, distinct from historical cash from operations less capex.</t>
  </si>
  <si>
    <t>Valuation output!C7, Valuation output!C8, Valuation output!C9</t>
  </si>
  <si>
    <t>Did historical free-cash-flow conversion improve from FY2024 to FY2025?</t>
  </si>
  <si>
    <t>financebench_id_00591</t>
  </si>
  <si>
    <t>Does Adobe have an improving Free cashflow conversion as of FY2022?</t>
  </si>
  <si>
    <t>This requires cash from operations and capex for both years under one definition. The original proposal set does not supply that complete comparison. A DCF output cannot resolve this historical question.</t>
  </si>
  <si>
    <t>Input sheet!B11, Input sheet!C11, Input sheet!B12</t>
  </si>
  <si>
    <t>wdfc25-cf, wdfc25-is</t>
  </si>
  <si>
    <t>Does the forecast explicitly model WD-40’s working-capital funding need?</t>
  </si>
  <si>
    <t>voltaic-05-nwc-peg</t>
  </si>
  <si>
    <t>We're putting together a first-round bid for Project Voltaic. Work out the net working capital we'd assume, how we got there, and what we'd treat as debt-like. Put it in Excel.</t>
  </si>
  <si>
    <t>Ginzu’s sales-to-capital reinvestment approach aggregates net capital spending and working-capital investment. It does not provide a standalone receivables, inventory and payables schedule or an acquisition working-capital peg.</t>
  </si>
  <si>
    <t>Input sheet!B31, Input sheet!B32, Valuation output!C8</t>
  </si>
  <si>
    <t>wdfc25-bs, wdfc25-cf</t>
  </si>
  <si>
    <t>How is the model’s normalized starting tax rate calculated?</t>
  </si>
  <si>
    <t>financebench_id_01351</t>
  </si>
  <si>
    <t>How much has the effective tax rate of American Express changed between FY2021 and FY2022?</t>
  </si>
  <si>
    <t>The original case uses (reported tax $10.632m + nonrecurring benefit $11.929m) / pretax income $101.626m = 22.200028%. The result is an explicit normalization convention, not the reported effective rate.</t>
  </si>
  <si>
    <t>Input sheet!B23</t>
  </si>
  <si>
    <t>wdfc25-tax, wdfc25-is, wdfc25-cf</t>
  </si>
  <si>
    <t>Is the 25% terminal tax rate a company fact?</t>
  </si>
  <si>
    <t>finlfqa</t>
  </si>
  <si>
    <t>82</t>
  </si>
  <si>
    <t>How does the adjusted effective tax rate due to non-GAAP measures differ between MDT and SYK?</t>
  </si>
  <si>
    <t>The 25% long-run combined marginal rate is an analyst assumption. The original case fades the normalized starting rate toward it because the permanent-effective-rate override is off.</t>
  </si>
  <si>
    <t>Input sheet!B23, Input sheet!B24, Input sheet!B59</t>
  </si>
  <si>
    <t>wdfc25-tax</t>
  </si>
  <si>
    <t>Why are disclosed state NOLs excluded from the simplified consolidated tax shield?</t>
  </si>
  <si>
    <t>97</t>
  </si>
  <si>
    <t>How do the tax-related adjustments for MDT and ISRG affect their effective tax rates, and what are the implications for financial strategy?</t>
  </si>
  <si>
    <t>The original source records $7.8m of state NOLs with a $0.5m deferred-tax asset. Their treatment is not equivalent to deducting $7.8m against all consolidated operating income at one modeled tax rate, so this case leaves the simplified NOL shield inactive.</t>
  </si>
  <si>
    <t>Input sheet!B61, Input sheet!B62</t>
  </si>
  <si>
    <t>wdfc25-nol</t>
  </si>
  <si>
    <t>Which historical CAPM evidence supports the original 9% starting WACC?</t>
  </si>
  <si>
    <t>The original 9% WACC and 4% risk-free rate are explicit illustrative parameters. No date-matched CAPM calculation is supplied. A sourced replacement needs the risk-free rate, equity risk premium, beta, borrowing cost and capital weights.</t>
  </si>
  <si>
    <t>Cost of capital worksheet!B11, Cost of capital worksheet!B12, Input sheet!B34, Input sheet!B35</t>
  </si>
  <si>
    <t>Why is terminal WACC 8%, and which template tables are bypassed?</t>
  </si>
  <si>
    <t>The case explicitly overrides terminal WACC to 8%. This avoids inheriting the template’s later reference premium. The selected 8% remains an analyst assumption; it is not verified August 2025 market data.</t>
  </si>
  <si>
    <t>Input sheet!B45, Input sheet!B46, Valuation output!M12</t>
  </si>
  <si>
    <t>How does shifting the WACC path change modeled value per share?</t>
  </si>
  <si>
    <t>voltaic-11-returns-waterfall</t>
  </si>
  <si>
    <t>Build the exit, the distribution waterfall and the returns for Project Voltaic in the attached model, on the terms in returns_terms.md, for both cases the model carries. How much of the return depends on the development pipeline rather than the committed build, and what is the most we could have paid for a 20% IRR or a 2.5x MOIC? Deliver the updated workbook.</t>
  </si>
  <si>
    <t>Use the sensitivity and reverse-DCF calculations with all other inputs fixed. State whether the whole path shifts or becomes flat; those are different counterfactuals. The implied rate does not establish market participants’ beliefs.</t>
  </si>
  <si>
    <t>Cost of capital worksheet!B12, Input sheet!B46, Valuation output!B33</t>
  </si>
  <si>
    <t>What terminal reinvestment does 2.5% growth require when ROIC equals 8% WACC?</t>
  </si>
  <si>
    <t>Under the original default, terminal ROIC equals terminal WACC. The steady-state reinvestment rate is g / ROIC = 2.5% / 8% = 31.25% of terminal NOPAT. Growth, ROIC and reinvestment must be considered together.</t>
  </si>
  <si>
    <t>Input sheet!B48, Input sheet!B49, Input sheet!B68, Valuation output!M40, Valuation output!M8</t>
  </si>
  <si>
    <t>What supports terminal ROIC of 20% or 25% in an alternative scenario?</t>
  </si>
  <si>
    <t>A durable excess-return scenario needs evidence on competition, brand economics, capital requirements and the duration of advantages. A high historical return alone does not establish a perpetual terminal return.</t>
  </si>
  <si>
    <t>Input sheet!B48, Input sheet!B49, Valuation output!M40</t>
  </si>
  <si>
    <t>wdfc25-company</t>
  </si>
  <si>
    <t>How much of modeled operating value comes from the terminal value?</t>
  </si>
  <si>
    <t>Calculate present value of terminal value divided by the corresponding operating-value cash-flow sum. Read this alongside terminal growth, margin, WACC and reinvestment; it is a model-dependence measure.</t>
  </si>
  <si>
    <t>Valuation output!B19, Valuation output!B21, Valuation output!B24</t>
  </si>
  <si>
    <t>Which debt and cash amounts enter the enterprise-to-equity bridge?</t>
  </si>
  <si>
    <t>voltaic-09-sources-uses</t>
  </si>
  <si>
    <t>We are acquiring 100% of Ironvale Digital Infrastructure (Project Voltaic). Build the transaction onto the attached operating model as a new tab: the sources and uses including the financing structure, the enterprise-to-equity value bridge, and post-close ownership. Finance it with the staple financing posted in the data room. Deliver the updated workbook.
Transaction assumptions:
  Completion date             31 March 2026
  Entry                       21.0x LTM Management Adjusted EBITDA, cash-free
                              and debt-free
  Buyer transaction fees      1.5% of enterprise value
  Minimum cash at close       $50M
  Management rollover         30% of management's total sale proceeds
  Management incentive plan   8% of post-close fully diluted equity, struck
                              at close</t>
  </si>
  <si>
    <t>The original proposals record gross interest-bearing borrowings of $86.995m and cash of $58.130m. This implies $28.865m of net borrowings under the stated lease convention, before any separately justified transaction adjustments.</t>
  </si>
  <si>
    <t>Input sheet!B15, Input sheet!B18, Valuation output!B26, Valuation output!B31</t>
  </si>
  <si>
    <t>wdfc25-bs</t>
  </si>
  <si>
    <t>Why are operating-lease liabilities excluded from this case’s debt?</t>
  </si>
  <si>
    <t>The case leaves operating rent in EBIT and excludes the $10.705m recognized operating-lease liability from debt. It also adjusts book equity for the net lease-capitalization difference. This is a consistent chosen convention, not absence of lease obligations.</t>
  </si>
  <si>
    <t>Input sheet!B15, Input sheet!B17, Input sheet!B14</t>
  </si>
  <si>
    <t>wdfc25-leases, wdfc25-lease-expense</t>
  </si>
  <si>
    <t>What entry price can a buyer pay while meeting a 20% annualized equity return?</t>
  </si>
  <si>
    <t>Use the LBO ability-to-pay schedule with explicit debt, interest, fees, reinvestment, liquidity and exit assumptions. Without those terms the original DCF does not answer the buyer’s maximum-price question.</t>
  </si>
  <si>
    <t>Input sheet!B12, Input sheet!B15, Input sheet!B18, Input sheet!B21</t>
  </si>
  <si>
    <t>wdfc25-is, wdfc25-bs</t>
  </si>
  <si>
    <t>What share count is used for DCF value per share, and is it the market-cap share count?</t>
  </si>
  <si>
    <t>The original DCF denominator is 13.633263m: 13.527614m common shares plus 0.063189m RSUs, 0.040839m target MSUs and 0.001621m vested DPUs. It is an explicit stock-unit dilution proxy; point-in-time common shares should be identified separately for market capitalization.</t>
  </si>
  <si>
    <t>Input sheet!B21, Valuation output!B32, Valuation output!B33</t>
  </si>
  <si>
    <t>wdfc25-bs, wdfc25-rsu, wdfc25-msu, wdfc25-plan-footnote, wdfc25-psu</t>
  </si>
  <si>
    <t>Were FY2025 dividends covered by recurring earnings and free cash flow?</t>
  </si>
  <si>
    <t>financebench_id_06272</t>
  </si>
  <si>
    <t>What is Coca Cola's FY2022 dividend payout ratio (using total cash dividends paid and net income attributable to shareholders)? Round answer to two decimal places. Answer the question asked by assuming you only have access to information clearly displayed in the cash flow statement and the income statement.</t>
  </si>
  <si>
    <t>Verify total cash dividends, normalized net income and cash from operations less capex under consistent definitions. The original proposals do not include the complete payout-coverage calculation; the tax-release benefit must not be treated as recurring earnings.</t>
  </si>
  <si>
    <t>Input sheet!B12, Input sheet!B23</t>
  </si>
  <si>
    <t>wdfc25-is, wdfc25-cf, wdfc25-tax</t>
  </si>
  <si>
    <t>Which dividend-growth and cost-of-equity assumptions support the DDM range?</t>
  </si>
  <si>
    <t>41</t>
  </si>
  <si>
    <t>How do the dividends paid by EOG and PXD compare during the first quarter of 2024, including percentage differences?</t>
  </si>
  <si>
    <t>A dividend valuation requires a dated dividend base, sustainable per-share payout growth and cost of equity. WACC is not the discount rate for dividends. The original DCF input set alone does not establish these inputs.</t>
  </si>
  <si>
    <t>Input sheet!B21, Input sheet!B34</t>
  </si>
  <si>
    <t>wdfc25-is, wdfc25-cf</t>
  </si>
  <si>
    <t>How would removing the homecare assets change the revenue and operating-income base?</t>
  </si>
  <si>
    <t>fincausal</t>
  </si>
  <si>
    <t>0209.00019</t>
  </si>
  <si>
    <t>Reconcile reported results to the pro forma scope, then account separately for the value, tax and costs of any disposal. The original case has no complete divestiture bridge. An announced intention to sell does not establish a completed transaction.</t>
  </si>
  <si>
    <t>Input sheet!B11, Input sheet!B12, Input sheet!B26</t>
  </si>
  <si>
    <t>Which WD-40 product and geographic exposures could invalidate the growth scenario?</t>
  </si>
  <si>
    <t>financebench_id_00517</t>
  </si>
  <si>
    <t>Are there any product categories / service categories that represent more than 20% of Boeing's revenue for FY2022?</t>
  </si>
  <si>
    <t>Inspect product and regional disclosures in the annual report before assigning exposures or probabilities. The original proposal set contains consolidated revenue and business identity, not a fully verified concentration analysis.</t>
  </si>
  <si>
    <t>Input sheet!B11, Input sheet!B26, Input sheet!B28</t>
  </si>
  <si>
    <t>wdfc25-company, wdfc25-is</t>
  </si>
  <si>
    <t>Which published operating result would falsify the higher-margin scenario?</t>
  </si>
  <si>
    <t>No advance probability is recorded. The margin scenario needs an explicit adjustment policy and a dated observable test. This retrospective template is not a historical forecasting track record.</t>
  </si>
  <si>
    <t>Input sheet!B29, Input sheet!B30, Input sheet!B27</t>
  </si>
  <si>
    <t>Question</t>
  </si>
  <si>
    <t>Category</t>
  </si>
  <si>
    <t>Benchmark</t>
  </si>
  <si>
    <t>Original record</t>
  </si>
  <si>
    <t>Original question</t>
  </si>
  <si>
    <t>WD40 answer or resolution</t>
  </si>
  <si>
    <t>Evidence cells</t>
  </si>
  <si>
    <t>Source IDs</t>
  </si>
  <si>
    <t>revenue-base</t>
  </si>
  <si>
    <t>revenue-growth</t>
  </si>
  <si>
    <t>revenue-resolution</t>
  </si>
  <si>
    <t>margin-reported</t>
  </si>
  <si>
    <t>margin-rd-bridge</t>
  </si>
  <si>
    <t>margin-target</t>
  </si>
  <si>
    <t>capital-capex</t>
  </si>
  <si>
    <t>capital-turnover</t>
  </si>
  <si>
    <t>capital-rd</t>
  </si>
  <si>
    <t>cash-fcff</t>
  </si>
  <si>
    <t>cash-conversion</t>
  </si>
  <si>
    <t>cash-working-capital</t>
  </si>
  <si>
    <t>tax-normalization</t>
  </si>
  <si>
    <t>tax-terminal</t>
  </si>
  <si>
    <t>tax-nol</t>
  </si>
  <si>
    <t>discount-start</t>
  </si>
  <si>
    <t>discount-terminal</t>
  </si>
  <si>
    <t>discount-sensitivity</t>
  </si>
  <si>
    <t>terminal-reinvestment</t>
  </si>
  <si>
    <t>terminal-excess-returns</t>
  </si>
  <si>
    <t>terminal-value-share</t>
  </si>
  <si>
    <t>financing-net-debt</t>
  </si>
  <si>
    <t>financing-leases</t>
  </si>
  <si>
    <t>financing-affordability</t>
  </si>
  <si>
    <t>payouts-dilution</t>
  </si>
  <si>
    <t>payouts-dividends</t>
  </si>
  <si>
    <t>payouts-ddm</t>
  </si>
  <si>
    <t>risks-disposal</t>
  </si>
  <si>
    <t>risks-product-concentration</t>
  </si>
  <si>
    <t>risks-falsification</t>
  </si>
  <si>
    <t>WD40_Questions</t>
  </si>
  <si>
    <t>Church &amp; Dwight2022 Barclays presentation: Hero acquisition</t>
  </si>
  <si>
    <t>https://s203.q4cdn.com/233583214/files/doc_events/2022/09/Barclays-Presentation-2022-FINAL.pdf</t>
  </si>
  <si>
    <t>2022-06-30</t>
  </si>
  <si>
    <t>2022-09-06</t>
  </si>
  <si>
    <t>630m purchase price and approximately45m TTM EBITDA. Cash and restricted-stock consideration; no independent acquired net-debt bridge is assumed.</t>
  </si>
  <si>
    <t>Church &amp; Dwight announces TheraBreath acquisition</t>
  </si>
  <si>
    <t>https://s203.q4cdn.com/233583214/files/doc_events/2021/11/11-29-21-Therabreath-Announcement.pdf</t>
  </si>
  <si>
    <t>2021-09-30</t>
  </si>
  <si>
    <t>2021-11-29</t>
  </si>
  <si>
    <t>580m announced consideration;27m TTM EBITDA. The36m2022 estimate includes4m synergies; the85m tax shield is a separate adjustment. Context calculations use unadjusted consideration and TTM EBITDA.</t>
  </si>
  <si>
    <t>Church &amp; Dwight announces Waterpik acquisition</t>
  </si>
  <si>
    <t>https://www.sec.gov/Archives/edgar/data/313927/000119312517228910/d426675dex991.htm</t>
  </si>
  <si>
    <t>2017-06-30</t>
  </si>
  <si>
    <t>2017-07-17</t>
  </si>
  <si>
    <t>Announced approximately1bn cash acquisition and approximately80m trailing-twelve-month EBITDA. Announcement consideration is retained separately from a verified net-debt-adjusted EV.</t>
  </si>
  <si>
    <t>FinanceBench public annotated sample</t>
  </si>
  <si>
    <t>https://github.com/patronus-ai/financebench</t>
  </si>
  <si>
    <t>FinCausal 2020 Task 2 practice cause-effect spans</t>
  </si>
  <si>
    <t>https://github.com/yseop/YseopLab/tree/develop/FNP_2020_FinCausal</t>
  </si>
  <si>
    <t>FinLFQA development / validation set</t>
  </si>
  <si>
    <t>https://huggingface.co/datasets/Dragongon/FinLFQA</t>
  </si>
  <si>
    <t>FinTextQA publicly released policy / regulation QA</t>
  </si>
  <si>
    <t>https://github.com/AlexJJJChen/FinTextQA</t>
  </si>
  <si>
    <t>Henkel announces Sun Products acquisition</t>
  </si>
  <si>
    <t>https://www.henkel.co.id/en/press/press-releases-and-kits/2016-06-24-henkel-to-acquire-sun-products-corporation-692268</t>
  </si>
  <si>
    <t>2016-06-24</t>
  </si>
  <si>
    <t>3.6bn transaction value including debt and1.6bn FY2015 sales. EBITDA not verified here; excluded from EBITDA multiple context.</t>
  </si>
  <si>
    <t>PE Bench public Voltaic tasks and rubrics</t>
  </si>
  <si>
    <t>https://github.com/GetCompoundAI/pe-bench</t>
  </si>
  <si>
    <t>WD-40 prior R&amp;D history</t>
  </si>
  <si>
    <t>https://www.sec.gov/Archives/edgar/data/105132/000010513223000059/wdfc-20230831.htm#f-421</t>
  </si>
  <si>
    <t>2023-08-31</t>
  </si>
  <si>
    <t>2023-10-23</t>
  </si>
  <si>
    <t>Note 2, Research and Development; FY2023-2021</t>
  </si>
  <si>
    <t>R&amp;D was USD6.2 m, USD5.1 m and USD5.6 m in FY2023, FY2022 and FY2021.</t>
  </si>
  <si>
    <t>WD-40 fully prepaid finance lease</t>
  </si>
  <si>
    <t>https://www.sec.gov/Archives/edgar/data/105132/000010513224000064/wdfc-20240831.htm#f-627</t>
  </si>
  <si>
    <t>2024-08-31</t>
  </si>
  <si>
    <t>2024-10-21</t>
  </si>
  <si>
    <t>FY2024 Note 7, Leases, paragraph following lease schedule, F-20</t>
  </si>
  <si>
    <t>The blending-facility finance lease was prepaid at commencement and carries no lease liability. The remaining ROU asset is not borrowing debt.</t>
  </si>
  <si>
    <t>WD-40 FY2025 audited balance sheets</t>
  </si>
  <si>
    <t>https://www.sec.gov/Archives/edgar/data/105132/000010513225000067/wdfc-20250831.htm#f-59</t>
  </si>
  <si>
    <t>2025-08-31</t>
  </si>
  <si>
    <t>2025-10-27</t>
  </si>
  <si>
    <t>F-3; August 31 2025 and 2024; USD thousands except actual share counts</t>
  </si>
  <si>
    <t>Audited cash, borrowings, common equity and point-in-time common shares.</t>
  </si>
  <si>
    <t>WD-40 FY2025 cash-flow statement</t>
  </si>
  <si>
    <t>https://www.sec.gov/Archives/edgar/data/105132/000010513225000067/wdfc-20250831.htm#f-271</t>
  </si>
  <si>
    <t>F-7; tax release and prepaid finance-lease settlement</t>
  </si>
  <si>
    <t>FY2025 tax-reserve release was USD11.929 m. FY2024 finance-lease obligation was settled with a prepaid deposit of USD3.855 m.</t>
  </si>
  <si>
    <t>WD-40 FY2025 balance sheet: actual common shares outstanding</t>
  </si>
  <si>
    <t>https://www.sec.gov/Archives/edgar/data/105132/000010513225000067/R4.htm</t>
  </si>
  <si>
    <t>Consolidated balance sheets, common stock outstanding</t>
  </si>
  <si>
    <t>13,527,614 common shares outstanding. This differs from the valuation case's13,633,263 share dilution proxy.</t>
  </si>
  <si>
    <t>WD-40 corporate identity and business</t>
  </si>
  <si>
    <t>https://www.sec.gov/Archives/edgar/data/105132/000010513225000067/wdfc-20250831.htm#f-382</t>
  </si>
  <si>
    <t>Note 1, The Company</t>
  </si>
  <si>
    <t>WD-40 is incorporated in Delaware, United States, with its headquarters in San Diego; its primary products are branded maintenance and homecare products.</t>
  </si>
  <si>
    <t>WD-40 basis of consolidation</t>
  </si>
  <si>
    <t>https://www.sec.gov/Archives/edgar/data/105132/000010513225000067/wdfc-20250831.htm#f-383</t>
  </si>
  <si>
    <t>Note 2, Basis of Consolidation</t>
  </si>
  <si>
    <t>Subsidiaries in the consolidated statements are wholly owned, supporting zero noncontrolling interests.</t>
  </si>
  <si>
    <t>WD-40 FY2025 audited operations</t>
  </si>
  <si>
    <t>https://www.sec.gov/Archives/edgar/data/105132/000010513225000067/wdfc-20250831.htm#f-131</t>
  </si>
  <si>
    <t>F-4; FY2025, FY2024, FY2023; USD thousands except per-share data</t>
  </si>
  <si>
    <t>Audited sales, EBIT, interest, tax and weighted-average earnings-per-share denominator.</t>
  </si>
  <si>
    <t>WD-40 lease expense and discount rates</t>
  </si>
  <si>
    <t>https://www.sec.gov/Archives/edgar/data/105132/000010513225000067/wdfc-20250831.htm#f-654</t>
  </si>
  <si>
    <t>Note 8, paragraph following maturity schedule</t>
  </si>
  <si>
    <t>FY2025 lease expense USD2.6 m in SG&amp;A plus USD1.1 m in COGS; operating lease weighted discount rate 5.1%.</t>
  </si>
  <si>
    <t>WD-40 lease cash commitments</t>
  </si>
  <si>
    <t>https://www.sec.gov/Archives/edgar/data/105132/000010513225000067/wdfc-20250831.htm#f-645</t>
  </si>
  <si>
    <t>Note 8, operating lease payment maturity schedule</t>
  </si>
  <si>
    <t>Undiscounted operating lease commitments by year; separate from recognized present-value liabilities.</t>
  </si>
  <si>
    <t>WD-40 recognized lease balances</t>
  </si>
  <si>
    <t>https://www.sec.gov/Archives/edgar/data/105132/000010513225000067/wdfc-20250831.htm#f-628</t>
  </si>
  <si>
    <t>Note 8, Leases, F-21; August 31 2025 and 2024</t>
  </si>
  <si>
    <t>Operating lease liabilities USD10.705 m/8.198 m; operating ROU assets USD10.385 m/8.077 m. Finance ROU asset USD3.149 m/3.534 m.</t>
  </si>
  <si>
    <t>WD-40 MSU rollforward</t>
  </si>
  <si>
    <t>https://www.sec.gov/Archives/edgar/data/105132/000010513225000067/wdfc-20250831.htm#f-1042</t>
  </si>
  <si>
    <t>Note 16, Market Share Units, F-31</t>
  </si>
  <si>
    <t>40, 839 target MSU shares outstanding; actual ultimate vesting can range from 0% to 200%.</t>
  </si>
  <si>
    <t>WD-40 state NOLs and tax credits</t>
  </si>
  <si>
    <t>https://www.sec.gov/Archives/edgar/data/105132/000010513225000067/wdfc-20250831.htm#f-915</t>
  </si>
  <si>
    <t>Note 15, Income Taxes, F-27</t>
  </si>
  <si>
    <t>USD7.8 m state NOLs create only USD0.5 m deferred-tax asset; not equivalent to federal/all-income NOL deductions.</t>
  </si>
  <si>
    <t>WD-40 equity compensation plan table</t>
  </si>
  <si>
    <t>https://www.sec.gov/Archives/edgar/data/105132/000010513225000107/wdfc-20251031.htm#i7c76bc05904e41ed9c82212460f7162e_133</t>
  </si>
  <si>
    <t>2025-10-31</t>
  </si>
  <si>
    <t>Equity Compensation Plan Information, p53; exercise-price column</t>
  </si>
  <si>
    <t>All 94, 507 listed securities reconcile to stock-unit awards; exercise price is not applicable.</t>
  </si>
  <si>
    <t>WD-40 equity award composition</t>
  </si>
  <si>
    <t>Equity Compensation Plan Information, p53, footnote2</t>
  </si>
  <si>
    <t>Composition includes 35, 354 RSUs, 1, 621 DPUs, 40, 839 target MSUs and 16, 693 PSUs. Proxy labels the 35, 354 RSUs unvested, conflicting with the audited 10-K vested classification; use total RSUs from 10-K.</t>
  </si>
  <si>
    <t>WD-40 primary-source fiscal-year-end stock price</t>
  </si>
  <si>
    <t>https://www.sec.gov/Archives/edgar/data/105132/000010513225000107/wdfc-20251031.htm#i7c76bc05904e41ed9c82212460f7162e_118</t>
  </si>
  <si>
    <t>Outstanding Equity Awards at2025 Fiscal Year End, footnote2, p49</t>
  </si>
  <si>
    <t>Fiscal-year-end quoted stock price USD216.04. The proxy labels it August 31; that date was a Sunday.</t>
  </si>
  <si>
    <t>WD-40 PSU performance outcome</t>
  </si>
  <si>
    <t>https://www.sec.gov/Archives/edgar/data/105132/000010513225000067/wdfc-20250831.htm#f-991</t>
  </si>
  <si>
    <t>Note 16, stock compensation expense footnote1</t>
  </si>
  <si>
    <t>FY2025 PSUs did not meet probable-vesting criteria and were subsequently forfeited.</t>
  </si>
  <si>
    <t>WD-40 R&amp;D policy and history</t>
  </si>
  <si>
    <t>https://www.sec.gov/Archives/edgar/data/105132/000010513225000067/wdfc-20250831.htm#f-446</t>
  </si>
  <si>
    <t>Note 2, Research and Development; FY2025-2023</t>
  </si>
  <si>
    <t>R&amp;D is expensed in SG&amp;A: USD8.7 m, USD8.0 m and USD6.2 m in FY2025, FY2024 and FY2023.</t>
  </si>
  <si>
    <t>WD-40 FY2025 results and initial FY2026 guidance</t>
  </si>
  <si>
    <t>https://www.sec.gov/Archives/edgar/data/105132/000010513225000061/wdfc-20251022xexx991.htm</t>
  </si>
  <si>
    <t>2025-10-22</t>
  </si>
  <si>
    <t>FY2025 statements, dividend update, and initial FY2026 guidance</t>
  </si>
  <si>
    <t>Reported EBIT 103.793m, cash-flow D&amp;A 8.191m, normalized adjusted EPS 5.82, quarterly dividend 0.94. Initial FY2026 sales growth guidance 5-9% is on a pro forma currency-adjusted basis; it differs from the later 6-9% guidance. Operating EBIT plus cash-flow D&amp;A is a derived proxy, not issuer adjusted EBITDA.</t>
  </si>
  <si>
    <t>WD-40 RSU rollforward</t>
  </si>
  <si>
    <t>https://www.sec.gov/Archives/edgar/data/105132/000010513225000067/wdfc-20250831.htm#f-1002</t>
  </si>
  <si>
    <t>Note 16, Restricted Stock Units, F-30</t>
  </si>
  <si>
    <t>63, 189 RSUs outstanding; 35, 354 vested at FY2025 end. The remaining units are unvested.</t>
  </si>
  <si>
    <t>WD-40 effective-tax-rate explanation</t>
  </si>
  <si>
    <t>https://www.sec.gov/Archives/edgar/data/105132/000010513225000067/wdfc-20250831.htm#f-942</t>
  </si>
  <si>
    <t>Note 15, Income Taxes, F-28</t>
  </si>
  <si>
    <t>Reported FY2025 tax rate 10.5% includes a favorable nonrecurring uncertain-tax-position release.</t>
  </si>
  <si>
    <t>New Mountain Capital closes Zep acquisition</t>
  </si>
  <si>
    <t>https://www.newmountaincapital.com/new-mountain-capital-acquires-zep-inc/</t>
  </si>
  <si>
    <t>2015-06-26</t>
  </si>
  <si>
    <t>Approximately692m announced transaction value. A consistent contemporaneous EBITDA denominator has not been verified for this implementation.</t>
  </si>
  <si>
    <t>Title</t>
  </si>
  <si>
    <t>URL</t>
  </si>
  <si>
    <t>As of</t>
  </si>
  <si>
    <t>Published</t>
  </si>
  <si>
    <t>Locator</t>
  </si>
  <si>
    <t>Summary / scope</t>
  </si>
  <si>
    <t>fintextqa</t>
  </si>
  <si>
    <t>henkel-sun-announcement</t>
  </si>
  <si>
    <t>wdfc23-rd</t>
  </si>
  <si>
    <t>wdfc24-finance-lease</t>
  </si>
  <si>
    <t>wdfc25-common-shares</t>
  </si>
  <si>
    <t>wdfc25-consolidation</t>
  </si>
  <si>
    <t>wdfc25-lease-expense</t>
  </si>
  <si>
    <t>wdfc25-lease-schedule</t>
  </si>
  <si>
    <t>wdfc25-leases</t>
  </si>
  <si>
    <t>wdfc25-msu</t>
  </si>
  <si>
    <t>wdfc25-plan</t>
  </si>
  <si>
    <t>wdfc25-plan-footnote</t>
  </si>
  <si>
    <t>wdfc25-price</t>
  </si>
  <si>
    <t>wdfc25-psu</t>
  </si>
  <si>
    <t>wdfc25-rd</t>
  </si>
  <si>
    <t>wdfc25-release</t>
  </si>
  <si>
    <t>wdfc25-rsu</t>
  </si>
  <si>
    <t>zep-acquisition-announcement</t>
  </si>
  <si>
    <t>WD40_Sources</t>
  </si>
</sst>
</file>

<file path=xl/styles.xml><?xml version="1.0" encoding="utf-8"?>
<styleSheet xmlns="http://schemas.openxmlformats.org/spreadsheetml/2006/main">
  <numFmts count="2">
    <numFmt numFmtId="164" formatCode="#,##0.000;[Red](#,##0.000);–"/>
    <numFmt numFmtId="165" formatCode="0.0%"/>
  </numFmts>
  <fonts count="6">
    <font>
      <sz val="11"/>
      <color theme="1"/>
      <name val="Calibri"/>
      <family val="2"/>
      <scheme val="minor"/>
    </font>
    <font>
      <b/>
      <sz val="10"/>
      <color rgb="FF29332C"/>
      <name val="Arial"/>
      <family val="2"/>
    </font>
    <font>
      <b/>
      <sz val="10"/>
      <color rgb="FFFFFFFF"/>
      <name val="Arial"/>
      <family val="2"/>
    </font>
    <font>
      <sz val="10"/>
      <color rgb="FF29332C"/>
      <name val="Arial"/>
      <family val="2"/>
    </font>
    <font>
      <sz val="10"/>
      <color theme="1"/>
      <name val="Arial"/>
      <family val="2"/>
    </font>
    <font>
      <sz val="10"/>
      <color rgb="FF0000FF"/>
      <name val="Arial"/>
      <family val="2"/>
    </font>
  </fonts>
  <fills count="7">
    <fill>
      <patternFill patternType="none"/>
    </fill>
    <fill>
      <patternFill patternType="gray125"/>
    </fill>
    <fill>
      <patternFill patternType="solid">
        <fgColor rgb="FFF4F3ED"/>
        <bgColor indexed="64"/>
      </patternFill>
    </fill>
    <fill>
      <patternFill patternType="solid">
        <fgColor rgb="FF294B3C"/>
        <bgColor indexed="64"/>
      </patternFill>
    </fill>
    <fill>
      <patternFill patternType="solid">
        <fgColor rgb="FFDCE5D7"/>
        <bgColor indexed="64"/>
      </patternFill>
    </fill>
    <fill>
      <patternFill patternType="solid">
        <fgColor rgb="FFFFFFFF"/>
        <bgColor indexed="64"/>
      </patternFill>
    </fill>
    <fill>
      <patternFill patternType="solid">
        <fgColor rgb="FFF2F6FB"/>
        <bgColor indexed="64"/>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left" vertical="center" wrapText="1"/>
    </xf>
    <xf numFmtId="0" fontId="2" fillId="3" borderId="0" xfId="0" applyFont="1" applyFill="1" applyAlignment="1">
      <alignment horizontal="left" vertical="center" wrapText="1"/>
    </xf>
    <xf numFmtId="164" fontId="1" fillId="4" borderId="0" xfId="0" applyNumberFormat="1" applyFont="1" applyFill="1" applyAlignment="1">
      <alignment horizontal="right" vertical="center"/>
    </xf>
    <xf numFmtId="164" fontId="3" fillId="5" borderId="0" xfId="0" applyNumberFormat="1" applyFont="1" applyFill="1" applyAlignment="1">
      <alignment horizontal="right" vertical="center"/>
    </xf>
    <xf numFmtId="165" fontId="3" fillId="5" borderId="0" xfId="0" applyNumberFormat="1" applyFont="1" applyFill="1" applyAlignment="1">
      <alignment horizontal="right" vertical="center"/>
    </xf>
    <xf numFmtId="164" fontId="4" fillId="0" borderId="0" xfId="0" applyNumberFormat="1" applyFont="1" applyAlignment="1">
      <alignment horizontal="right" vertical="center"/>
    </xf>
    <xf numFmtId="0" fontId="4" fillId="0" borderId="0" xfId="0" applyFont="1" applyAlignment="1">
      <alignment horizontal="left" vertical="center" wrapText="1"/>
    </xf>
    <xf numFmtId="164" fontId="5" fillId="6" borderId="0" xfId="0" applyNumberFormat="1" applyFont="1" applyFill="1" applyAlignment="1">
      <alignment horizontal="right" vertical="center"/>
    </xf>
    <xf numFmtId="165" fontId="5" fillId="6" borderId="0" xfId="0" applyNumberFormat="1" applyFont="1" applyFill="1" applyAlignment="1">
      <alignment horizontal="right" vertical="center"/>
    </xf>
    <xf numFmtId="165" fontId="4" fillId="0" borderId="0" xfId="0" applyNumberFormat="1" applyFont="1" applyAlignment="1">
      <alignment horizontal="right" vertical="center"/>
    </xf>
    <xf numFmtId="1" fontId="5" fillId="6" borderId="0" xfId="0" applyNumberFormat="1" applyFont="1" applyFill="1" applyAlignment="1">
      <alignment horizontal="right" vertical="center"/>
    </xf>
    <xf numFmtId="1" fontId="3" fillId="5" borderId="0" xfId="0" applyNumberFormat="1" applyFont="1" applyFill="1" applyAlignment="1">
      <alignment horizontal="right" vertical="center"/>
    </xf>
    <xf numFmtId="1" fontId="4" fillId="0" borderId="0" xfId="0" applyNumberFormat="1" applyFont="1" applyAlignment="1">
      <alignment horizontal="right" vertical="center"/>
    </xf>
    <xf numFmtId="165" fontId="1" fillId="4" borderId="0" xfId="0" applyNumberFormat="1" applyFont="1" applyFill="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0.xml.rels><?xml version="1.0" encoding="UTF-8" standalone="yes"?>
<Relationships xmlns="http://schemas.openxmlformats.org/package/2006/relationships"><Relationship Id="rId1" Type="http://schemas.openxmlformats.org/officeDocument/2006/relationships/hyperlink" Target="https://s203.q4cdn.com/233583214/files/doc_events/2022/09/Barclays-Presentation-2022-FINAL.pdf" TargetMode="External"/><Relationship Id="rId2" Type="http://schemas.openxmlformats.org/officeDocument/2006/relationships/hyperlink" Target="https://s203.q4cdn.com/233583214/files/doc_events/2021/11/11-29-21-Therabreath-Announcement.pdf" TargetMode="External"/><Relationship Id="rId3" Type="http://schemas.openxmlformats.org/officeDocument/2006/relationships/hyperlink" Target="https://www.sec.gov/Archives/edgar/data/313927/000119312517228910/d426675dex991.htm" TargetMode="External"/><Relationship Id="rId4" Type="http://schemas.openxmlformats.org/officeDocument/2006/relationships/hyperlink" Target="https://github.com/patronus-ai/financebench" TargetMode="External"/><Relationship Id="rId5" Type="http://schemas.openxmlformats.org/officeDocument/2006/relationships/hyperlink" Target="https://github.com/yseop/YseopLab/tree/develop/FNP_2020_FinCausal" TargetMode="External"/><Relationship Id="rId6" Type="http://schemas.openxmlformats.org/officeDocument/2006/relationships/hyperlink" Target="https://huggingface.co/datasets/Dragongon/FinLFQA" TargetMode="External"/><Relationship Id="rId7" Type="http://schemas.openxmlformats.org/officeDocument/2006/relationships/hyperlink" Target="https://github.com/AlexJJJChen/FinTextQA" TargetMode="External"/><Relationship Id="rId8" Type="http://schemas.openxmlformats.org/officeDocument/2006/relationships/hyperlink" Target="https://www.henkel.co.id/en/press/press-releases-and-kits/2016-06-24-henkel-to-acquire-sun-products-corporation-692268" TargetMode="External"/><Relationship Id="rId9" Type="http://schemas.openxmlformats.org/officeDocument/2006/relationships/hyperlink" Target="https://github.com/GetCompoundAI/pe-bench" TargetMode="External"/><Relationship Id="rId10" Type="http://schemas.openxmlformats.org/officeDocument/2006/relationships/hyperlink" Target="https://www.sec.gov/Archives/edgar/data/105132/000010513223000059/wdfc-20230831.htm" TargetMode="External"/><Relationship Id="rId11" Type="http://schemas.openxmlformats.org/officeDocument/2006/relationships/hyperlink" Target="https://www.sec.gov/Archives/edgar/data/105132/000010513224000064/wdfc-20240831.htm" TargetMode="External"/><Relationship Id="rId12" Type="http://schemas.openxmlformats.org/officeDocument/2006/relationships/hyperlink" Target="https://www.sec.gov/Archives/edgar/data/105132/000010513225000067/wdfc-20250831.htm" TargetMode="External"/><Relationship Id="rId13" Type="http://schemas.openxmlformats.org/officeDocument/2006/relationships/hyperlink" Target="https://www.sec.gov/Archives/edgar/data/105132/000010513225000067/wdfc-20250831.htm" TargetMode="External"/><Relationship Id="rId14" Type="http://schemas.openxmlformats.org/officeDocument/2006/relationships/hyperlink" Target="https://www.sec.gov/Archives/edgar/data/105132/000010513225000067/R4.htm" TargetMode="External"/><Relationship Id="rId15" Type="http://schemas.openxmlformats.org/officeDocument/2006/relationships/hyperlink" Target="https://www.sec.gov/Archives/edgar/data/105132/000010513225000067/wdfc-20250831.htm" TargetMode="External"/><Relationship Id="rId16" Type="http://schemas.openxmlformats.org/officeDocument/2006/relationships/hyperlink" Target="https://www.sec.gov/Archives/edgar/data/105132/000010513225000067/wdfc-20250831.htm" TargetMode="External"/><Relationship Id="rId17" Type="http://schemas.openxmlformats.org/officeDocument/2006/relationships/hyperlink" Target="https://www.sec.gov/Archives/edgar/data/105132/000010513225000067/wdfc-20250831.htm" TargetMode="External"/><Relationship Id="rId18" Type="http://schemas.openxmlformats.org/officeDocument/2006/relationships/hyperlink" Target="https://www.sec.gov/Archives/edgar/data/105132/000010513225000067/wdfc-20250831.htm" TargetMode="External"/><Relationship Id="rId19" Type="http://schemas.openxmlformats.org/officeDocument/2006/relationships/hyperlink" Target="https://www.sec.gov/Archives/edgar/data/105132/000010513225000067/wdfc-20250831.htm" TargetMode="External"/><Relationship Id="rId20" Type="http://schemas.openxmlformats.org/officeDocument/2006/relationships/hyperlink" Target="https://www.sec.gov/Archives/edgar/data/105132/000010513225000067/wdfc-20250831.htm" TargetMode="External"/><Relationship Id="rId21" Type="http://schemas.openxmlformats.org/officeDocument/2006/relationships/hyperlink" Target="https://www.sec.gov/Archives/edgar/data/105132/000010513225000067/wdfc-20250831.htm" TargetMode="External"/><Relationship Id="rId22" Type="http://schemas.openxmlformats.org/officeDocument/2006/relationships/hyperlink" Target="https://www.sec.gov/Archives/edgar/data/105132/000010513225000067/wdfc-20250831.htm" TargetMode="External"/><Relationship Id="rId23" Type="http://schemas.openxmlformats.org/officeDocument/2006/relationships/hyperlink" Target="https://www.sec.gov/Archives/edgar/data/105132/000010513225000107/wdfc-20251031.htm" TargetMode="External"/><Relationship Id="rId24" Type="http://schemas.openxmlformats.org/officeDocument/2006/relationships/hyperlink" Target="https://www.sec.gov/Archives/edgar/data/105132/000010513225000107/wdfc-20251031.htm" TargetMode="External"/><Relationship Id="rId25" Type="http://schemas.openxmlformats.org/officeDocument/2006/relationships/hyperlink" Target="https://www.sec.gov/Archives/edgar/data/105132/000010513225000107/wdfc-20251031.htm" TargetMode="External"/><Relationship Id="rId26" Type="http://schemas.openxmlformats.org/officeDocument/2006/relationships/hyperlink" Target="https://www.sec.gov/Archives/edgar/data/105132/000010513225000067/wdfc-20250831.htm" TargetMode="External"/><Relationship Id="rId27" Type="http://schemas.openxmlformats.org/officeDocument/2006/relationships/hyperlink" Target="https://www.sec.gov/Archives/edgar/data/105132/000010513225000067/wdfc-20250831.htm" TargetMode="External"/><Relationship Id="rId28" Type="http://schemas.openxmlformats.org/officeDocument/2006/relationships/hyperlink" Target="https://www.sec.gov/Archives/edgar/data/105132/000010513225000061/wdfc-20251022xexx991.htm" TargetMode="External"/><Relationship Id="rId29" Type="http://schemas.openxmlformats.org/officeDocument/2006/relationships/hyperlink" Target="https://www.sec.gov/Archives/edgar/data/105132/000010513225000067/wdfc-20250831.htm" TargetMode="External"/><Relationship Id="rId30" Type="http://schemas.openxmlformats.org/officeDocument/2006/relationships/hyperlink" Target="https://www.sec.gov/Archives/edgar/data/105132/000010513225000067/wdfc-20250831.htm" TargetMode="External"/><Relationship Id="rId31" Type="http://schemas.openxmlformats.org/officeDocument/2006/relationships/hyperlink" Target="https://www.newmountaincapital.com/new-mountain-capital-acquires-zep-inc/" TargetMode="External"/></Relationships>
</file>

<file path=xl/worksheets/sheet1.xml><?xml version="1.0" encoding="utf-8"?>
<worksheet xmlns="http://schemas.openxmlformats.org/spreadsheetml/2006/main" xmlns:r="http://schemas.openxmlformats.org/officeDocument/2006/relationships">
  <dimension ref="A1:E14"/>
  <sheetViews>
    <sheetView tabSelected="1" workbookViewId="0" showGridLines="0">
      <pane xSplit="1" ySplit="1" topLeftCell="B2" activePane="bottomRight" state="frozen"/>
      <selection pane="bottomRight" activeCell="B2" sqref="B2"/>
    </sheetView>
  </sheetViews>
  <sheetFormatPr defaultRowHeight="15"/>
  <cols>
    <col min="1" max="1" width="58.7109375" customWidth="1"/>
    <col min="2" max="2" width="32.7109375" customWidth="1"/>
    <col min="3" max="5" width="26.7109375" customWidth="1"/>
  </cols>
  <sheetData>
    <row r="1" spans="1:5" ht="36" customHeight="1">
      <c r="A1" s="1" t="s">
        <v>26</v>
      </c>
      <c r="B1" s="2" t="s">
        <v>9</v>
      </c>
      <c r="C1" s="2" t="s">
        <v>10</v>
      </c>
      <c r="D1" s="2" t="s">
        <v>11</v>
      </c>
      <c r="E1" s="2" t="s">
        <v>12</v>
      </c>
    </row>
    <row r="2" spans="1:5" ht="26.25" customHeight="1">
      <c r="A2" s="1" t="s">
        <v>13</v>
      </c>
      <c r="B2" s="3">
        <f>'WD40_DCF_original'!B28+0</f>
        <v>88.15029580134913</v>
      </c>
      <c r="C2" s="3">
        <f>'WD40_DCF_bear'!B28+0</f>
        <v>80.57818553644175</v>
      </c>
      <c r="D2" s="3">
        <f>'WD40_DCF_base'!B28+0</f>
        <v>159.17020951337236</v>
      </c>
      <c r="E2" s="3">
        <f>'WD40_DCF_bull'!B28+0</f>
        <v>258.66159350015437</v>
      </c>
    </row>
    <row r="3" spans="1:5" ht="26.25" customHeight="1">
      <c r="A3" s="1" t="s">
        <v>14</v>
      </c>
      <c r="B3" s="4">
        <f>'WD40_DCF_original'!B26+0</f>
        <v>1230.6411661875882</v>
      </c>
      <c r="C3" s="4">
        <f>'WD40_DCF_bear'!B26+0</f>
        <v>1127.4085954811062</v>
      </c>
      <c r="D3" s="4">
        <f>'WD40_DCF_base'!B26+0</f>
        <v>2198.874328060907</v>
      </c>
      <c r="E3" s="4">
        <f>'WD40_DCF_bull'!B26+0</f>
        <v>3555.266532186695</v>
      </c>
    </row>
    <row r="4" spans="1:5" ht="26.25" customHeight="1">
      <c r="A4" s="1" t="s">
        <v>15</v>
      </c>
      <c r="B4" s="4">
        <f>'WD40_DCF_original'!B27+0</f>
        <v>1201.7761661875884</v>
      </c>
      <c r="C4" s="4">
        <f>'WD40_DCF_bear'!B27+0</f>
        <v>1098.5435954811064</v>
      </c>
      <c r="D4" s="4">
        <f>'WD40_DCF_base'!B27+0</f>
        <v>2170.009328060907</v>
      </c>
      <c r="E4" s="4">
        <f>'WD40_DCF_bull'!B27+0</f>
        <v>3526.401532186695</v>
      </c>
    </row>
    <row r="5" spans="1:5" ht="26.25" customHeight="1">
      <c r="A5" s="1" t="s">
        <v>16</v>
      </c>
      <c r="B5" s="4">
        <f>'WD40_DCF_original'!B22+0</f>
        <v>670.7666409826161</v>
      </c>
      <c r="C5" s="4">
        <f>'WD40_DCF_bear'!B22+0</f>
        <v>584.9112444064805</v>
      </c>
      <c r="D5" s="4">
        <f>'WD40_DCF_base'!B22+0</f>
        <v>1490.9938583976634</v>
      </c>
      <c r="E5" s="4">
        <f>'WD40_DCF_bull'!B22+0</f>
        <v>2699.977552482452</v>
      </c>
    </row>
    <row r="6" spans="1:5" ht="26.25" customHeight="1">
      <c r="A6" s="1" t="s">
        <v>17</v>
      </c>
      <c r="B6" s="5">
        <f>'WD40_DCF_original'!B29+0</f>
        <v>0.5450546100782478</v>
      </c>
      <c r="C6" s="5">
        <f>'WD40_DCF_bear'!B29+0</f>
        <v>0.518810346799669</v>
      </c>
      <c r="D6" s="5">
        <f>'WD40_DCF_base'!B29+0</f>
        <v>0.678071429262857</v>
      </c>
      <c r="E6" s="5">
        <f>'WD40_DCF_bull'!B29+0</f>
        <v>0.759430419080791</v>
      </c>
    </row>
    <row r="7" spans="1:5" ht="26.25" customHeight="1">
      <c r="A7" s="1" t="s">
        <v>18</v>
      </c>
      <c r="B7" s="6">
        <v>216.04</v>
      </c>
      <c r="C7" s="6">
        <v>216.04</v>
      </c>
      <c r="D7" s="6">
        <v>216.04</v>
      </c>
      <c r="E7" s="6">
        <v>216.04</v>
      </c>
    </row>
    <row r="8" spans="1:5" ht="26.25" customHeight="1">
      <c r="A8" s="1" t="s">
        <v>19</v>
      </c>
      <c r="B8" s="5">
        <f>(B2/B7)-1</f>
        <v>-0.5919723393753511</v>
      </c>
      <c r="C8" s="5">
        <f>(C2/C7)-1</f>
        <v>-0.6270219147544818</v>
      </c>
      <c r="D8" s="5">
        <f>(D2/D7)-1</f>
        <v>-0.26323731941597683</v>
      </c>
      <c r="E8" s="5">
        <f>(E2/E7)-1</f>
        <v>0.19728565774927964</v>
      </c>
    </row>
    <row r="9" spans="1:5" ht="26.25" customHeight="1">
      <c r="A9" s="1" t="s">
        <v>20</v>
      </c>
      <c r="B9" s="6">
        <f>'WD40_DCF_original'!B35+0</f>
        <v>2.2737367544323206e-13</v>
      </c>
      <c r="C9" s="6">
        <f>'WD40_DCF_bear'!B35+0</f>
        <v>2.2737367544323206e-13</v>
      </c>
      <c r="D9" s="6">
        <f>'WD40_DCF_base'!B35+0</f>
        <v>0.0</v>
      </c>
      <c r="E9" s="6">
        <f>'WD40_DCF_bull'!B35+0</f>
        <v>-4.547473508864641e-13</v>
      </c>
    </row>
    <row r="10" spans="1:5" ht="51.75" customHeight="1">
      <c r="A10" s="1" t="s">
        <v>21</v>
      </c>
      <c r="B10" s="7" t="s">
        <v>0</v>
      </c>
      <c r="C10" s="7" t="s">
        <v>1</v>
      </c>
      <c r="D10" s="7" t="s">
        <v>2</v>
      </c>
      <c r="E10" s="7" t="s">
        <v>3</v>
      </c>
    </row>
    <row r="11" spans="1:5" ht="51.75" customHeight="1">
      <c r="A11" s="1" t="s">
        <v>22</v>
      </c>
      <c r="B11" s="7" t="s">
        <v>4</v>
      </c>
      <c r="C11" s="7" t="s">
        <v>5</v>
      </c>
      <c r="D11" s="7" t="s">
        <v>5</v>
      </c>
      <c r="E11" s="7" t="s">
        <v>5</v>
      </c>
    </row>
    <row r="12" spans="1:5" ht="51.75" customHeight="1">
      <c r="A12" s="1" t="s">
        <v>23</v>
      </c>
      <c r="B12" s="7" t="s">
        <v>6</v>
      </c>
      <c r="C12" s="7" t="s">
        <v>6</v>
      </c>
      <c r="D12" s="7" t="s">
        <v>6</v>
      </c>
      <c r="E12" s="7" t="s">
        <v>6</v>
      </c>
    </row>
    <row r="13" spans="1:5" ht="51.75" customHeight="1">
      <c r="A13" s="1" t="s">
        <v>24</v>
      </c>
      <c r="B13" s="7" t="s">
        <v>7</v>
      </c>
      <c r="C13" s="7" t="s">
        <v>7</v>
      </c>
      <c r="D13" s="7" t="s">
        <v>7</v>
      </c>
      <c r="E13" s="7" t="s">
        <v>7</v>
      </c>
    </row>
    <row r="14" spans="1:5" ht="63.75" customHeight="1">
      <c r="A14" s="1" t="s">
        <v>25</v>
      </c>
      <c r="B14" s="7" t="s">
        <v>8</v>
      </c>
      <c r="C14" s="7" t="s">
        <v>8</v>
      </c>
      <c r="D14" s="7" t="s">
        <v>8</v>
      </c>
      <c r="E14" s="7"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8"/>
  <sheetViews>
    <sheetView workbookViewId="0" showGridLines="0">
      <pane xSplit="1" ySplit="1" topLeftCell="B2" activePane="bottomRight" state="frozen"/>
      <selection pane="bottomRight" activeCell="B2" sqref="B2"/>
    </sheetView>
  </sheetViews>
  <sheetFormatPr defaultRowHeight="15"/>
  <cols>
    <col min="1" max="1" width="58.7109375" customWidth="1"/>
    <col min="2" max="4" width="23.7109375" customWidth="1"/>
    <col min="5" max="5" width="22.7109375" customWidth="1"/>
    <col min="6" max="6" width="40.7109375" customWidth="1"/>
    <col min="7" max="7" width="110.7109375" customWidth="1"/>
  </cols>
  <sheetData>
    <row r="1" spans="1:7" ht="36" customHeight="1">
      <c r="A1" s="1" t="s">
        <v>54</v>
      </c>
      <c r="B1" s="2" t="s">
        <v>41</v>
      </c>
      <c r="C1" s="2" t="s">
        <v>42</v>
      </c>
      <c r="D1" s="2" t="s">
        <v>43</v>
      </c>
      <c r="E1" s="2" t="s">
        <v>44</v>
      </c>
      <c r="F1" s="2" t="s">
        <v>45</v>
      </c>
      <c r="G1" s="2" t="s">
        <v>46</v>
      </c>
    </row>
    <row r="2" spans="1:7" ht="50.25" customHeight="1">
      <c r="A2" s="1" t="s">
        <v>47</v>
      </c>
      <c r="B2" s="7" t="s">
        <v>27</v>
      </c>
      <c r="C2" s="7" t="s">
        <v>27</v>
      </c>
      <c r="D2" s="7" t="s">
        <v>27</v>
      </c>
      <c r="E2" s="7" t="s">
        <v>28</v>
      </c>
      <c r="F2" s="7" t="s">
        <v>29</v>
      </c>
      <c r="G2" s="7" t="s">
        <v>30</v>
      </c>
    </row>
    <row r="3" spans="1:7" ht="50.25" customHeight="1">
      <c r="A3" s="1" t="s">
        <v>48</v>
      </c>
      <c r="B3" s="7" t="s">
        <v>27</v>
      </c>
      <c r="C3" s="7" t="s">
        <v>27</v>
      </c>
      <c r="D3" s="7" t="s">
        <v>27</v>
      </c>
      <c r="E3" s="7" t="s">
        <v>28</v>
      </c>
      <c r="F3" s="7" t="s">
        <v>29</v>
      </c>
      <c r="G3" s="7" t="s">
        <v>30</v>
      </c>
    </row>
    <row r="4" spans="1:7" ht="50.25" customHeight="1">
      <c r="A4" s="1" t="s">
        <v>49</v>
      </c>
      <c r="B4" s="7" t="s">
        <v>27</v>
      </c>
      <c r="C4" s="7" t="s">
        <v>27</v>
      </c>
      <c r="D4" s="7" t="s">
        <v>27</v>
      </c>
      <c r="E4" s="7" t="s">
        <v>28</v>
      </c>
      <c r="F4" s="7" t="s">
        <v>29</v>
      </c>
      <c r="G4" s="7" t="s">
        <v>30</v>
      </c>
    </row>
    <row r="5" spans="1:7" ht="63.75" customHeight="1">
      <c r="A5" s="1" t="s">
        <v>50</v>
      </c>
      <c r="B5" s="3">
        <f>'WD40_Precedents'!B6+0</f>
        <v>100.55809823370973</v>
      </c>
      <c r="C5" s="3">
        <f>'WD40_Precedents'!C6+0</f>
        <v>112.87913979213928</v>
      </c>
      <c r="D5" s="3">
        <f>'WD40_Precedents'!D6+0</f>
        <v>174.33223596010893</v>
      </c>
      <c r="E5" s="7" t="s">
        <v>31</v>
      </c>
      <c r="F5" s="7" t="s">
        <v>32</v>
      </c>
      <c r="G5" s="7" t="s">
        <v>33</v>
      </c>
    </row>
    <row r="6" spans="1:7" ht="78" customHeight="1">
      <c r="A6" s="1" t="s">
        <v>51</v>
      </c>
      <c r="B6" s="3">
        <f>'WD40_LBO'!B127+0</f>
        <v>89.37030132355025</v>
      </c>
      <c r="C6" s="3">
        <f>'WD40_LBO'!C127+0</f>
        <v>100.33908113387052</v>
      </c>
      <c r="D6" s="3">
        <f>'WD40_LBO'!D127+0</f>
        <v>106.93406565124172</v>
      </c>
      <c r="E6" s="7" t="s">
        <v>34</v>
      </c>
      <c r="F6" s="7" t="s">
        <v>35</v>
      </c>
      <c r="G6" s="7" t="s">
        <v>36</v>
      </c>
    </row>
    <row r="7" spans="1:7" ht="63.75" customHeight="1">
      <c r="A7" s="1" t="s">
        <v>52</v>
      </c>
      <c r="B7" s="3">
        <f>'WD40_DDM'!B72+0</f>
        <v>66.25585854402621</v>
      </c>
      <c r="C7" s="3">
        <f>'WD40_DDM'!C72+0</f>
        <v>83.27560966580327</v>
      </c>
      <c r="D7" s="3">
        <f>'WD40_DDM'!D72+0</f>
        <v>105.82183164825778</v>
      </c>
      <c r="E7" s="7" t="s">
        <v>34</v>
      </c>
      <c r="F7" s="7" t="s">
        <v>37</v>
      </c>
      <c r="G7" s="7" t="s">
        <v>38</v>
      </c>
    </row>
    <row r="8" spans="1:7" ht="63.75" customHeight="1">
      <c r="A8" s="1" t="s">
        <v>53</v>
      </c>
      <c r="B8" s="3">
        <f>'WD40_Synergies'!B66+0</f>
        <v>192.31364586828462</v>
      </c>
      <c r="C8" s="3">
        <f>'WD40_Synergies'!C66+0</f>
        <v>225.4570822231969</v>
      </c>
      <c r="D8" s="3">
        <f>'WD40_Synergies'!D66+0</f>
        <v>258.60051857810913</v>
      </c>
      <c r="E8" s="7" t="s">
        <v>34</v>
      </c>
      <c r="F8" s="7" t="s">
        <v>39</v>
      </c>
      <c r="G8" s="7"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49"/>
  <sheetViews>
    <sheetView workbookViewId="0" showGridLines="0">
      <pane xSplit="1" ySplit="1" topLeftCell="B2" activePane="bottomRight" state="frozen"/>
      <selection pane="bottomRight" activeCell="B2" sqref="B2"/>
    </sheetView>
  </sheetViews>
  <sheetFormatPr defaultRowHeight="15"/>
  <cols>
    <col min="1" max="1" width="61.7109375" customWidth="1"/>
    <col min="2" max="5" width="24.7109375" customWidth="1"/>
  </cols>
  <sheetData>
    <row r="1" spans="1:5" ht="36" customHeight="1">
      <c r="A1" s="1" t="s">
        <v>108</v>
      </c>
      <c r="B1" s="2" t="s">
        <v>56</v>
      </c>
      <c r="C1" s="2" t="s">
        <v>57</v>
      </c>
      <c r="D1" s="2" t="s">
        <v>58</v>
      </c>
      <c r="E1" s="2" t="s">
        <v>59</v>
      </c>
    </row>
    <row r="2" spans="1:5" ht="26.25" customHeight="1">
      <c r="A2" s="1" t="s">
        <v>60</v>
      </c>
      <c r="B2" s="8">
        <v>290.599</v>
      </c>
      <c r="C2" s="8">
        <v>236.434</v>
      </c>
      <c r="D2" s="8">
        <v>92.952</v>
      </c>
      <c r="E2" s="6">
        <f>SUM(B2:D2)</f>
        <v>619.985</v>
      </c>
    </row>
    <row r="3" spans="1:5" ht="26.25" customHeight="1">
      <c r="A3" s="1" t="s">
        <v>61</v>
      </c>
      <c r="B3" s="8">
        <v>0</v>
      </c>
      <c r="C3" s="8">
        <v>0</v>
      </c>
      <c r="D3" s="8">
        <v>0</v>
      </c>
      <c r="E3" s="6">
        <f>SUM(B3:D3)</f>
        <v>0</v>
      </c>
    </row>
    <row r="4" spans="1:5" ht="26.25" customHeight="1">
      <c r="A4" s="1" t="s">
        <v>62</v>
      </c>
      <c r="B4" s="6">
        <f>B2-B3</f>
        <v>290.599</v>
      </c>
      <c r="C4" s="6">
        <f>C2-C3</f>
        <v>236.434</v>
      </c>
      <c r="D4" s="6">
        <f>D2-D3</f>
        <v>92.952</v>
      </c>
      <c r="E4" s="6">
        <f>SUM(B4:D4)</f>
        <v>619.985</v>
      </c>
    </row>
    <row r="5" spans="1:5" ht="26.25" customHeight="1">
      <c r="A5" s="1" t="s">
        <v>63</v>
      </c>
      <c r="B5" s="9">
        <v>0.01</v>
      </c>
      <c r="C5" s="9">
        <v>0.04</v>
      </c>
      <c r="D5" s="9">
        <v>0.06</v>
      </c>
    </row>
    <row r="6" spans="1:5" ht="26.25" customHeight="1">
      <c r="A6" s="1" t="s">
        <v>64</v>
      </c>
      <c r="B6" s="10">
        <f>'WD40_Inputs_bear'!B22+0</f>
        <v>0.025</v>
      </c>
      <c r="C6" s="10">
        <f>'WD40_Inputs_bear'!B22+0</f>
        <v>0.025</v>
      </c>
      <c r="D6" s="10">
        <f>'WD40_Inputs_bear'!B22+0</f>
        <v>0.025</v>
      </c>
    </row>
    <row r="7" spans="1:5" ht="26.25" customHeight="1">
      <c r="A7" s="1" t="s">
        <v>65</v>
      </c>
      <c r="B7" s="10">
        <f>B5+0</f>
        <v>0.01</v>
      </c>
      <c r="C7" s="10">
        <f>C5+0</f>
        <v>0.04</v>
      </c>
      <c r="D7" s="10">
        <f>D5+0</f>
        <v>0.06</v>
      </c>
      <c r="E7" s="10">
        <f>(E8/E2)-1</f>
        <v>0.028936942022790957</v>
      </c>
    </row>
    <row r="8" spans="1:5" ht="26.25" customHeight="1">
      <c r="A8" s="1" t="s">
        <v>66</v>
      </c>
      <c r="B8" s="6">
        <f>B4*(1+B7)</f>
        <v>293.50498999999996</v>
      </c>
      <c r="C8" s="6">
        <f>C4*(1+C7)</f>
        <v>245.89136</v>
      </c>
      <c r="D8" s="6">
        <f>D4*(1+D7)</f>
        <v>98.52912</v>
      </c>
      <c r="E8" s="6">
        <f>SUM(B8:D8)</f>
        <v>637.92547</v>
      </c>
    </row>
    <row r="9" spans="1:5" ht="26.25" customHeight="1">
      <c r="A9" s="1" t="s">
        <v>67</v>
      </c>
      <c r="E9" s="6">
        <f>'WD40_DCF_bear'!C4+0</f>
        <v>637.92547</v>
      </c>
    </row>
    <row r="10" spans="1:5" ht="26.25" customHeight="1">
      <c r="A10" s="1" t="s">
        <v>68</v>
      </c>
      <c r="E10" s="6">
        <f>E9-E8</f>
        <v>0.0</v>
      </c>
    </row>
    <row r="11" spans="1:5" ht="26.25" customHeight="1">
      <c r="A11" s="1" t="s">
        <v>69</v>
      </c>
      <c r="B11" s="10">
        <f>B5+0</f>
        <v>0.01</v>
      </c>
      <c r="C11" s="10">
        <f>C5+0</f>
        <v>0.04</v>
      </c>
      <c r="D11" s="10">
        <f>D5+0</f>
        <v>0.06</v>
      </c>
      <c r="E11" s="10">
        <f>(E12/E8)-1</f>
        <v>0.029286260509397755</v>
      </c>
    </row>
    <row r="12" spans="1:5" ht="26.25" customHeight="1">
      <c r="A12" s="1" t="s">
        <v>70</v>
      </c>
      <c r="B12" s="6">
        <f>B8*(1+B11)</f>
        <v>296.4400399</v>
      </c>
      <c r="C12" s="6">
        <f>C8*(1+C11)</f>
        <v>255.7270144</v>
      </c>
      <c r="D12" s="6">
        <f>D8*(1+D11)</f>
        <v>104.44086720000001</v>
      </c>
      <c r="E12" s="6">
        <f>SUM(B12:D12)</f>
        <v>656.6079215</v>
      </c>
    </row>
    <row r="13" spans="1:5" ht="26.25" customHeight="1">
      <c r="A13" s="1" t="s">
        <v>71</v>
      </c>
      <c r="E13" s="6">
        <f>'WD40_DCF_bear'!D4+0</f>
        <v>656.9443682233064</v>
      </c>
    </row>
    <row r="14" spans="1:5" ht="26.25" customHeight="1">
      <c r="A14" s="1" t="s">
        <v>72</v>
      </c>
      <c r="E14" s="6">
        <f>E13-E12</f>
        <v>0.3364467233063806</v>
      </c>
    </row>
    <row r="15" spans="1:5" ht="26.25" customHeight="1">
      <c r="A15" s="1" t="s">
        <v>73</v>
      </c>
      <c r="B15" s="10">
        <f>B5+0</f>
        <v>0.01</v>
      </c>
      <c r="C15" s="10">
        <f>C5+0</f>
        <v>0.04</v>
      </c>
      <c r="D15" s="10">
        <f>D5+0</f>
        <v>0.06</v>
      </c>
      <c r="E15" s="10">
        <f>(E16/E12)-1</f>
        <v>0.029637067068189582</v>
      </c>
    </row>
    <row r="16" spans="1:5" ht="26.25" customHeight="1">
      <c r="A16" s="1" t="s">
        <v>74</v>
      </c>
      <c r="B16" s="6">
        <f>B12*(1+B15)</f>
        <v>299.404440299</v>
      </c>
      <c r="C16" s="6">
        <f>C12*(1+C15)</f>
        <v>265.95609497600003</v>
      </c>
      <c r="D16" s="6">
        <f>D12*(1+D15)</f>
        <v>110.70731923200002</v>
      </c>
      <c r="E16" s="6">
        <f>SUM(B16:D16)</f>
        <v>676.0678545070001</v>
      </c>
    </row>
    <row r="17" spans="1:5" ht="26.25" customHeight="1">
      <c r="A17" s="1" t="s">
        <v>75</v>
      </c>
      <c r="E17" s="6">
        <f>'WD40_DCF_bear'!E4+0</f>
        <v>676.5302895655179</v>
      </c>
    </row>
    <row r="18" spans="1:5" ht="26.25" customHeight="1">
      <c r="A18" s="1" t="s">
        <v>76</v>
      </c>
      <c r="E18" s="6">
        <f>E17-E16</f>
        <v>0.4624350585178263</v>
      </c>
    </row>
    <row r="19" spans="1:5" ht="26.25" customHeight="1">
      <c r="A19" s="1" t="s">
        <v>77</v>
      </c>
      <c r="B19" s="10">
        <f>B5+0</f>
        <v>0.01</v>
      </c>
      <c r="C19" s="10">
        <f>C5+0</f>
        <v>0.04</v>
      </c>
      <c r="D19" s="10">
        <f>D5+0</f>
        <v>0.06</v>
      </c>
      <c r="E19" s="10">
        <f>(E20/E16)-1</f>
        <v>0.029989190021073586</v>
      </c>
    </row>
    <row r="20" spans="1:5" ht="26.25" customHeight="1">
      <c r="A20" s="1" t="s">
        <v>78</v>
      </c>
      <c r="B20" s="6">
        <f>B16*(1+B19)</f>
        <v>302.39848470199</v>
      </c>
      <c r="C20" s="6">
        <f>C16*(1+C19)</f>
        <v>276.59433877504006</v>
      </c>
      <c r="D20" s="6">
        <f>D16*(1+D19)</f>
        <v>117.34975838592003</v>
      </c>
      <c r="E20" s="6">
        <f>SUM(B20:D20)</f>
        <v>696.34258186295</v>
      </c>
    </row>
    <row r="21" spans="1:5" ht="26.25" customHeight="1">
      <c r="A21" s="1" t="s">
        <v>79</v>
      </c>
      <c r="E21" s="6">
        <f>'WD40_DCF_bear'!F4+0</f>
        <v>696.7001390656964</v>
      </c>
    </row>
    <row r="22" spans="1:5" ht="26.25" customHeight="1">
      <c r="A22" s="1" t="s">
        <v>80</v>
      </c>
      <c r="E22" s="6">
        <f>E21-E20</f>
        <v>0.35755720274630676</v>
      </c>
    </row>
    <row r="23" spans="1:5" ht="26.25" customHeight="1">
      <c r="A23" s="1" t="s">
        <v>81</v>
      </c>
      <c r="B23" s="10">
        <f>B5+0</f>
        <v>0.01</v>
      </c>
      <c r="C23" s="10">
        <f>C5+0</f>
        <v>0.04</v>
      </c>
      <c r="D23" s="10">
        <f>D5+0</f>
        <v>0.06</v>
      </c>
      <c r="E23" s="10">
        <f>(E24/E20)-1</f>
        <v>0.030342455641087396</v>
      </c>
    </row>
    <row r="24" spans="1:5" ht="26.25" customHeight="1">
      <c r="A24" s="1" t="s">
        <v>82</v>
      </c>
      <c r="B24" s="6">
        <f>B20*(1+B23)</f>
        <v>305.4224695490099</v>
      </c>
      <c r="C24" s="6">
        <f>C20*(1+C23)</f>
        <v>287.65811232604165</v>
      </c>
      <c r="D24" s="6">
        <f>D20*(1+D23)</f>
        <v>124.39074388907524</v>
      </c>
      <c r="E24" s="6">
        <f>SUM(B24:D24)</f>
        <v>717.4713257641268</v>
      </c>
    </row>
    <row r="25" spans="1:5" ht="26.25" customHeight="1">
      <c r="A25" s="1" t="s">
        <v>83</v>
      </c>
      <c r="E25" s="6">
        <f>'WD40_DCF_bear'!G4+0</f>
        <v>717.4713257641266</v>
      </c>
    </row>
    <row r="26" spans="1:5" ht="26.25" customHeight="1">
      <c r="A26" s="1" t="s">
        <v>84</v>
      </c>
      <c r="E26" s="6">
        <f>E25-E24</f>
        <v>-2.2737367544323206e-13</v>
      </c>
    </row>
    <row r="27" spans="1:5" ht="26.25" customHeight="1">
      <c r="A27" s="1" t="s">
        <v>85</v>
      </c>
      <c r="B27" s="10">
        <f>B5-(((B5-B6)/5)*1)+0</f>
        <v>0.013000000000000001</v>
      </c>
      <c r="C27" s="10">
        <f>C5-(((C5-C6)/5)*1)+0</f>
        <v>0.037</v>
      </c>
      <c r="D27" s="10">
        <f>D5-(((D5-D6)/5)*1)+0</f>
        <v>0.053</v>
      </c>
      <c r="E27" s="10">
        <f>(E28/E24)-1</f>
        <v>0.029557350830342832</v>
      </c>
    </row>
    <row r="28" spans="1:5" ht="26.25" customHeight="1">
      <c r="A28" s="1" t="s">
        <v>86</v>
      </c>
      <c r="B28" s="6">
        <f>B24*(1+B27)</f>
        <v>309.39296165314704</v>
      </c>
      <c r="C28" s="6">
        <f>C24*(1+C27)</f>
        <v>298.30146248210514</v>
      </c>
      <c r="D28" s="6">
        <f>D24*(1+D27)</f>
        <v>130.98345331519621</v>
      </c>
      <c r="E28" s="6">
        <f>SUM(B28:D28)</f>
        <v>738.6778774504484</v>
      </c>
    </row>
    <row r="29" spans="1:5" ht="26.25" customHeight="1">
      <c r="A29" s="1" t="s">
        <v>87</v>
      </c>
      <c r="E29" s="6">
        <f>'WD40_DCF_bear'!H4+0</f>
        <v>738.1710439643999</v>
      </c>
    </row>
    <row r="30" spans="1:5" ht="26.25" customHeight="1">
      <c r="A30" s="1" t="s">
        <v>88</v>
      </c>
      <c r="E30" s="6">
        <f>E29-E28</f>
        <v>-0.5068334860484356</v>
      </c>
    </row>
    <row r="31" spans="1:5" ht="26.25" customHeight="1">
      <c r="A31" s="1" t="s">
        <v>89</v>
      </c>
      <c r="B31" s="10">
        <f>B5-(((B5-B6)/5)*2)+0</f>
        <v>0.016</v>
      </c>
      <c r="C31" s="10">
        <f>C5-(((C5-C6)/5)*2)+0</f>
        <v>0.034</v>
      </c>
      <c r="D31" s="10">
        <f>D5-(((D5-D6)/5)*2)+0</f>
        <v>0.046</v>
      </c>
      <c r="E31" s="10">
        <f>(E32/E28)-1</f>
        <v>0.02858861299086035</v>
      </c>
    </row>
    <row r="32" spans="1:5" ht="26.25" customHeight="1">
      <c r="A32" s="1" t="s">
        <v>90</v>
      </c>
      <c r="B32" s="6">
        <f>B28*(1+B31)</f>
        <v>314.3432490395974</v>
      </c>
      <c r="C32" s="6">
        <f>C28*(1+C31)</f>
        <v>308.44371220649674</v>
      </c>
      <c r="D32" s="6">
        <f>D28*(1+D31)</f>
        <v>137.00869216769524</v>
      </c>
      <c r="E32" s="6">
        <f>SUM(B32:D32)</f>
        <v>759.7956534137894</v>
      </c>
    </row>
    <row r="33" spans="1:5" ht="26.25" customHeight="1">
      <c r="A33" s="1" t="s">
        <v>91</v>
      </c>
      <c r="E33" s="6">
        <f>'WD40_DCF_bear'!I4+0</f>
        <v>758.7573062993155</v>
      </c>
    </row>
    <row r="34" spans="1:5" ht="26.25" customHeight="1">
      <c r="A34" s="1" t="s">
        <v>92</v>
      </c>
      <c r="E34" s="6">
        <f>E33-E32</f>
        <v>-1.038347114473936</v>
      </c>
    </row>
    <row r="35" spans="1:5" ht="26.25" customHeight="1">
      <c r="A35" s="1" t="s">
        <v>93</v>
      </c>
      <c r="B35" s="10">
        <f>B5-(((B5-B6)/5)*3)+0</f>
        <v>0.019000000000000003</v>
      </c>
      <c r="C35" s="10">
        <f>C5-(((C5-C6)/5)*3)+0</f>
        <v>0.031</v>
      </c>
      <c r="D35" s="10">
        <f>D5-(((D5-D6)/5)*3)+0</f>
        <v>0.039</v>
      </c>
      <c r="E35" s="10">
        <f>(E36/E32)-1</f>
        <v>0.027477935298642286</v>
      </c>
    </row>
    <row r="36" spans="1:5" ht="26.25" customHeight="1">
      <c r="A36" s="1" t="s">
        <v>94</v>
      </c>
      <c r="B36" s="6">
        <f>B32*(1+B35)</f>
        <v>320.3157707713497</v>
      </c>
      <c r="C36" s="6">
        <f>C32*(1+C35)</f>
        <v>318.0054672848981</v>
      </c>
      <c r="D36" s="6">
        <f>D32*(1+D35)</f>
        <v>142.35203116223533</v>
      </c>
      <c r="E36" s="6">
        <f>SUM(B36:D36)</f>
        <v>780.6732692184831</v>
      </c>
    </row>
    <row r="37" spans="1:5" ht="26.25" customHeight="1">
      <c r="A37" s="1" t="s">
        <v>95</v>
      </c>
      <c r="E37" s="6">
        <f>'WD40_DCF_bear'!J4+0</f>
        <v>779.1872012875696</v>
      </c>
    </row>
    <row r="38" spans="1:5" ht="26.25" customHeight="1">
      <c r="A38" s="1" t="s">
        <v>96</v>
      </c>
      <c r="E38" s="6">
        <f>E37-E36</f>
        <v>-1.4860679309135776</v>
      </c>
    </row>
    <row r="39" spans="1:5" ht="26.25" customHeight="1">
      <c r="A39" s="1" t="s">
        <v>97</v>
      </c>
      <c r="B39" s="10">
        <f>B5-(((B5-B6)/5)*4)+0</f>
        <v>0.022</v>
      </c>
      <c r="C39" s="10">
        <f>C5-(((C5-C6)/5)*4)+0</f>
        <v>0.028</v>
      </c>
      <c r="D39" s="10">
        <f>D5-(((D5-D6)/5)*4)+0</f>
        <v>0.032</v>
      </c>
      <c r="E39" s="10">
        <f>(E40/E36)-1</f>
        <v>0.026267538350156494</v>
      </c>
    </row>
    <row r="40" spans="1:5" ht="26.25" customHeight="1">
      <c r="A40" s="1" t="s">
        <v>98</v>
      </c>
      <c r="B40" s="6">
        <f>B36*(1+B39)</f>
        <v>327.3627177283194</v>
      </c>
      <c r="C40" s="6">
        <f>C36*(1+C39)</f>
        <v>326.90962036887527</v>
      </c>
      <c r="D40" s="6">
        <f>D36*(1+D39)</f>
        <v>146.90729615942686</v>
      </c>
      <c r="E40" s="6">
        <f>SUM(B40:D40)</f>
        <v>801.1796342566216</v>
      </c>
    </row>
    <row r="41" spans="1:5" ht="26.25" customHeight="1">
      <c r="A41" s="1" t="s">
        <v>99</v>
      </c>
      <c r="E41" s="6">
        <f>'WD40_DCF_bear'!K4+0</f>
        <v>799.4170310318269</v>
      </c>
    </row>
    <row r="42" spans="1:5" ht="26.25" customHeight="1">
      <c r="A42" s="1" t="s">
        <v>100</v>
      </c>
      <c r="E42" s="6">
        <f>E41-E40</f>
        <v>-1.7626032247947023</v>
      </c>
    </row>
    <row r="43" spans="1:5" ht="26.25" customHeight="1">
      <c r="A43" s="1" t="s">
        <v>101</v>
      </c>
      <c r="B43" s="10">
        <f>B5-(((B5-B6)/5)*5)+0</f>
        <v>0.025</v>
      </c>
      <c r="C43" s="10">
        <f>C5-(((C5-C6)/5)*5)+0</f>
        <v>0.025</v>
      </c>
      <c r="D43" s="10">
        <f>D5-(((D5-D6)/5)*5)+0</f>
        <v>0.025</v>
      </c>
      <c r="E43" s="10">
        <f>(E44/E40)-1</f>
        <v>0.02499999999999969</v>
      </c>
    </row>
    <row r="44" spans="1:5" ht="26.25" customHeight="1">
      <c r="A44" s="1" t="s">
        <v>102</v>
      </c>
      <c r="B44" s="6">
        <f>B40*(1+B43)</f>
        <v>335.54678567152735</v>
      </c>
      <c r="C44" s="6">
        <f>C40*(1+C43)</f>
        <v>335.0823608780971</v>
      </c>
      <c r="D44" s="6">
        <f>D40*(1+D43)</f>
        <v>150.5799785634125</v>
      </c>
      <c r="E44" s="6">
        <f>SUM(B44:D44)</f>
        <v>821.209125113037</v>
      </c>
    </row>
    <row r="45" spans="1:5" ht="26.25" customHeight="1">
      <c r="A45" s="1" t="s">
        <v>103</v>
      </c>
      <c r="E45" s="6">
        <f>'WD40_DCF_bear'!L4+0</f>
        <v>819.4024568076226</v>
      </c>
    </row>
    <row r="46" spans="1:5" ht="26.25" customHeight="1">
      <c r="A46" s="1" t="s">
        <v>104</v>
      </c>
      <c r="E46" s="6">
        <f>E45-E44</f>
        <v>-1.806668305414405</v>
      </c>
    </row>
    <row r="47" spans="1:5" ht="26.25" customHeight="1">
      <c r="A47" s="1" t="s">
        <v>105</v>
      </c>
      <c r="E47" s="10">
        <f>E7+0</f>
        <v>0.028936942022790957</v>
      </c>
    </row>
    <row r="48" spans="1:5" ht="26.25" customHeight="1">
      <c r="A48" s="1" t="s">
        <v>106</v>
      </c>
      <c r="E48" s="10">
        <f>(E24/E8)^0.25-1</f>
        <v>0.029813668081486666</v>
      </c>
    </row>
    <row r="49" spans="1:2" ht="105.75" customHeight="1">
      <c r="A49" s="1" t="s">
        <v>107</v>
      </c>
      <c r="B49" s="7" t="s">
        <v>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49"/>
  <sheetViews>
    <sheetView workbookViewId="0" showGridLines="0">
      <pane xSplit="1" ySplit="1" topLeftCell="B2" activePane="bottomRight" state="frozen"/>
      <selection pane="bottomRight" activeCell="B2" sqref="B2"/>
    </sheetView>
  </sheetViews>
  <sheetFormatPr defaultRowHeight="15"/>
  <cols>
    <col min="1" max="1" width="61.7109375" customWidth="1"/>
    <col min="2" max="5" width="24.7109375" customWidth="1"/>
  </cols>
  <sheetData>
    <row r="1" spans="1:5" ht="36" customHeight="1">
      <c r="A1" s="1" t="s">
        <v>109</v>
      </c>
      <c r="B1" s="2" t="s">
        <v>56</v>
      </c>
      <c r="C1" s="2" t="s">
        <v>57</v>
      </c>
      <c r="D1" s="2" t="s">
        <v>58</v>
      </c>
      <c r="E1" s="2" t="s">
        <v>59</v>
      </c>
    </row>
    <row r="2" spans="1:5" ht="26.25" customHeight="1">
      <c r="A2" s="1" t="s">
        <v>60</v>
      </c>
      <c r="B2" s="8">
        <v>290.599</v>
      </c>
      <c r="C2" s="8">
        <v>236.434</v>
      </c>
      <c r="D2" s="8">
        <v>92.952</v>
      </c>
      <c r="E2" s="6">
        <f>SUM(B2:D2)</f>
        <v>619.985</v>
      </c>
    </row>
    <row r="3" spans="1:5" ht="26.25" customHeight="1">
      <c r="A3" s="1" t="s">
        <v>61</v>
      </c>
      <c r="B3" s="8">
        <v>0</v>
      </c>
      <c r="C3" s="8">
        <v>0</v>
      </c>
      <c r="D3" s="8">
        <v>0</v>
      </c>
      <c r="E3" s="6">
        <f>SUM(B3:D3)</f>
        <v>0</v>
      </c>
    </row>
    <row r="4" spans="1:5" ht="26.25" customHeight="1">
      <c r="A4" s="1" t="s">
        <v>62</v>
      </c>
      <c r="B4" s="6">
        <f>B2-B3</f>
        <v>290.599</v>
      </c>
      <c r="C4" s="6">
        <f>C2-C3</f>
        <v>236.434</v>
      </c>
      <c r="D4" s="6">
        <f>D2-D3</f>
        <v>92.952</v>
      </c>
      <c r="E4" s="6">
        <f>SUM(B4:D4)</f>
        <v>619.985</v>
      </c>
    </row>
    <row r="5" spans="1:5" ht="26.25" customHeight="1">
      <c r="A5" s="1" t="s">
        <v>63</v>
      </c>
      <c r="B5" s="9">
        <v>0.04</v>
      </c>
      <c r="C5" s="9">
        <v>0.07000000000000001</v>
      </c>
      <c r="D5" s="9">
        <v>0.1</v>
      </c>
    </row>
    <row r="6" spans="1:5" ht="26.25" customHeight="1">
      <c r="A6" s="1" t="s">
        <v>64</v>
      </c>
      <c r="B6" s="10">
        <f>'WD40_Inputs_base'!B22+0</f>
        <v>0.025</v>
      </c>
      <c r="C6" s="10">
        <f>'WD40_Inputs_base'!B22+0</f>
        <v>0.025</v>
      </c>
      <c r="D6" s="10">
        <f>'WD40_Inputs_base'!B22+0</f>
        <v>0.025</v>
      </c>
    </row>
    <row r="7" spans="1:5" ht="26.25" customHeight="1">
      <c r="A7" s="1" t="s">
        <v>65</v>
      </c>
      <c r="B7" s="10">
        <f>B5+0</f>
        <v>0.04</v>
      </c>
      <c r="C7" s="10">
        <f>C5+0</f>
        <v>0.07</v>
      </c>
      <c r="D7" s="10">
        <f>D5+0</f>
        <v>0.1</v>
      </c>
      <c r="E7" s="10">
        <f>(E8/E2)-1</f>
        <v>0.06043620410171213</v>
      </c>
    </row>
    <row r="8" spans="1:5" ht="26.25" customHeight="1">
      <c r="A8" s="1" t="s">
        <v>66</v>
      </c>
      <c r="B8" s="6">
        <f>B4*(1+B7)</f>
        <v>302.22296</v>
      </c>
      <c r="C8" s="6">
        <f>C4*(1+C7)</f>
        <v>252.98438000000002</v>
      </c>
      <c r="D8" s="6">
        <f>D4*(1+D7)</f>
        <v>102.2472</v>
      </c>
      <c r="E8" s="6">
        <f>SUM(B8:D8)</f>
        <v>657.4545400000001</v>
      </c>
    </row>
    <row r="9" spans="1:5" ht="26.25" customHeight="1">
      <c r="A9" s="1" t="s">
        <v>67</v>
      </c>
      <c r="E9" s="6">
        <f>'WD40_DCF_base'!C4+0</f>
        <v>657.4545400000001</v>
      </c>
    </row>
    <row r="10" spans="1:5" ht="26.25" customHeight="1">
      <c r="A10" s="1" t="s">
        <v>68</v>
      </c>
      <c r="E10" s="6">
        <f>E9-E8</f>
        <v>0.0</v>
      </c>
    </row>
    <row r="11" spans="1:5" ht="26.25" customHeight="1">
      <c r="A11" s="1" t="s">
        <v>69</v>
      </c>
      <c r="B11" s="10">
        <f>B5+0</f>
        <v>0.04</v>
      </c>
      <c r="C11" s="10">
        <f>C5+0</f>
        <v>0.07</v>
      </c>
      <c r="D11" s="10">
        <f>D5+0</f>
        <v>0.1</v>
      </c>
      <c r="E11" s="10">
        <f>(E12/E8)-1</f>
        <v>0.06087499981367528</v>
      </c>
    </row>
    <row r="12" spans="1:5" ht="26.25" customHeight="1">
      <c r="A12" s="1" t="s">
        <v>70</v>
      </c>
      <c r="B12" s="6">
        <f>B8*(1+B11)</f>
        <v>314.3118784</v>
      </c>
      <c r="C12" s="6">
        <f>C8*(1+C11)</f>
        <v>270.6932866</v>
      </c>
      <c r="D12" s="6">
        <f>D8*(1+D11)</f>
        <v>112.47192000000001</v>
      </c>
      <c r="E12" s="6">
        <f>SUM(B12:D12)</f>
        <v>697.477085</v>
      </c>
    </row>
    <row r="13" spans="1:5" ht="26.25" customHeight="1">
      <c r="A13" s="1" t="s">
        <v>71</v>
      </c>
      <c r="E13" s="6">
        <f>'WD40_DCF_base'!D4+0</f>
        <v>697.9171990233394</v>
      </c>
    </row>
    <row r="14" spans="1:5" ht="26.25" customHeight="1">
      <c r="A14" s="1" t="s">
        <v>72</v>
      </c>
      <c r="E14" s="6">
        <f>E13-E12</f>
        <v>0.44011402333944716</v>
      </c>
    </row>
    <row r="15" spans="1:5" ht="26.25" customHeight="1">
      <c r="A15" s="1" t="s">
        <v>73</v>
      </c>
      <c r="B15" s="10">
        <f>B5+0</f>
        <v>0.04</v>
      </c>
      <c r="C15" s="10">
        <f>C5+0</f>
        <v>0.07</v>
      </c>
      <c r="D15" s="10">
        <f>D5+0</f>
        <v>0.1</v>
      </c>
      <c r="E15" s="10">
        <f>(E16/E12)-1</f>
        <v>0.06131842625051975</v>
      </c>
    </row>
    <row r="16" spans="1:5" ht="26.25" customHeight="1">
      <c r="A16" s="1" t="s">
        <v>74</v>
      </c>
      <c r="B16" s="6">
        <f>B12*(1+B15)</f>
        <v>326.88435353600005</v>
      </c>
      <c r="C16" s="6">
        <f>C12*(1+C15)</f>
        <v>289.64181666200005</v>
      </c>
      <c r="D16" s="6">
        <f>D12*(1+D15)</f>
        <v>123.71911200000002</v>
      </c>
      <c r="E16" s="6">
        <f>SUM(B16:D16)</f>
        <v>740.245282198</v>
      </c>
    </row>
    <row r="17" spans="1:5" ht="26.25" customHeight="1">
      <c r="A17" s="1" t="s">
        <v>75</v>
      </c>
      <c r="E17" s="6">
        <f>'WD40_DCF_base'!E4+0</f>
        <v>740.8701089699427</v>
      </c>
    </row>
    <row r="18" spans="1:5" ht="26.25" customHeight="1">
      <c r="A18" s="1" t="s">
        <v>76</v>
      </c>
      <c r="E18" s="6">
        <f>E17-E16</f>
        <v>0.6248267719427076</v>
      </c>
    </row>
    <row r="19" spans="1:5" ht="26.25" customHeight="1">
      <c r="A19" s="1" t="s">
        <v>77</v>
      </c>
      <c r="B19" s="10">
        <f>B5+0</f>
        <v>0.04</v>
      </c>
      <c r="C19" s="10">
        <f>C5+0</f>
        <v>0.07</v>
      </c>
      <c r="D19" s="10">
        <f>D5+0</f>
        <v>0.1</v>
      </c>
      <c r="E19" s="10">
        <f>(E20/E16)-1</f>
        <v>0.06176630045113929</v>
      </c>
    </row>
    <row r="20" spans="1:5" ht="26.25" customHeight="1">
      <c r="A20" s="1" t="s">
        <v>78</v>
      </c>
      <c r="B20" s="6">
        <f>B16*(1+B19)</f>
        <v>339.95972767744007</v>
      </c>
      <c r="C20" s="6">
        <f>C16*(1+C19)</f>
        <v>309.9167438283401</v>
      </c>
      <c r="D20" s="6">
        <f>D16*(1+D19)</f>
        <v>136.09102320000002</v>
      </c>
      <c r="E20" s="6">
        <f>SUM(B20:D20)</f>
        <v>785.9674947057802</v>
      </c>
    </row>
    <row r="21" spans="1:5" ht="26.25" customHeight="1">
      <c r="A21" s="1" t="s">
        <v>79</v>
      </c>
      <c r="E21" s="6">
        <f>'WD40_DCF_base'!F4+0</f>
        <v>786.4665308911224</v>
      </c>
    </row>
    <row r="22" spans="1:5" ht="26.25" customHeight="1">
      <c r="A22" s="1" t="s">
        <v>80</v>
      </c>
      <c r="E22" s="6">
        <f>E21-E20</f>
        <v>0.49903618534222005</v>
      </c>
    </row>
    <row r="23" spans="1:5" ht="26.25" customHeight="1">
      <c r="A23" s="1" t="s">
        <v>81</v>
      </c>
      <c r="B23" s="10">
        <f>B5+0</f>
        <v>0.04</v>
      </c>
      <c r="C23" s="10">
        <f>C5+0</f>
        <v>0.07</v>
      </c>
      <c r="D23" s="10">
        <f>D5+0</f>
        <v>0.1</v>
      </c>
      <c r="E23" s="10">
        <f>(E24/E20)-1</f>
        <v>0.06221842992805615</v>
      </c>
    </row>
    <row r="24" spans="1:5" ht="26.25" customHeight="1">
      <c r="A24" s="1" t="s">
        <v>82</v>
      </c>
      <c r="B24" s="6">
        <f>B20*(1+B23)</f>
        <v>353.5581167845377</v>
      </c>
      <c r="C24" s="6">
        <f>C20*(1+C23)</f>
        <v>331.6109158963239</v>
      </c>
      <c r="D24" s="6">
        <f>D20*(1+D23)</f>
        <v>149.70012552000003</v>
      </c>
      <c r="E24" s="6">
        <f>SUM(B24:D24)</f>
        <v>834.8691582008616</v>
      </c>
    </row>
    <row r="25" spans="1:5" ht="26.25" customHeight="1">
      <c r="A25" s="1" t="s">
        <v>83</v>
      </c>
      <c r="E25" s="6">
        <f>'WD40_DCF_base'!G4+0</f>
        <v>834.8691582008616</v>
      </c>
    </row>
    <row r="26" spans="1:5" ht="26.25" customHeight="1">
      <c r="A26" s="1" t="s">
        <v>84</v>
      </c>
      <c r="E26" s="6">
        <f>E25-E24</f>
        <v>0.0</v>
      </c>
    </row>
    <row r="27" spans="1:5" ht="26.25" customHeight="1">
      <c r="A27" s="1" t="s">
        <v>85</v>
      </c>
      <c r="B27" s="10">
        <f>B5-(((B5-B6)/5)*1)+0</f>
        <v>0.037</v>
      </c>
      <c r="C27" s="10">
        <f>C5-(((C5-C6)/5)*1)+0</f>
        <v>0.061000000000000006</v>
      </c>
      <c r="D27" s="10">
        <f>D5-(((D5-D6)/5)*1)+0</f>
        <v>0.085</v>
      </c>
      <c r="E27" s="10">
        <f>(E28/E24)-1</f>
        <v>0.055139690342744796</v>
      </c>
    </row>
    <row r="28" spans="1:5" ht="26.25" customHeight="1">
      <c r="A28" s="1" t="s">
        <v>86</v>
      </c>
      <c r="B28" s="6">
        <f>B24*(1+B27)</f>
        <v>366.63976710556557</v>
      </c>
      <c r="C28" s="6">
        <f>C24*(1+C27)</f>
        <v>351.8391817659996</v>
      </c>
      <c r="D28" s="6">
        <f>D24*(1+D27)</f>
        <v>162.42463618920002</v>
      </c>
      <c r="E28" s="6">
        <f>SUM(B28:D28)</f>
        <v>880.9035850607652</v>
      </c>
    </row>
    <row r="29" spans="1:5" ht="26.25" customHeight="1">
      <c r="A29" s="1" t="s">
        <v>87</v>
      </c>
      <c r="E29" s="6">
        <f>'WD40_DCF_base'!H4+0</f>
        <v>880.1487351792681</v>
      </c>
    </row>
    <row r="30" spans="1:5" ht="26.25" customHeight="1">
      <c r="A30" s="1" t="s">
        <v>88</v>
      </c>
      <c r="E30" s="6">
        <f>E29-E28</f>
        <v>-0.7548498814970799</v>
      </c>
    </row>
    <row r="31" spans="1:5" ht="26.25" customHeight="1">
      <c r="A31" s="1" t="s">
        <v>89</v>
      </c>
      <c r="B31" s="10">
        <f>B5-(((B5-B6)/5)*2)+0</f>
        <v>0.034</v>
      </c>
      <c r="C31" s="10">
        <f>C5-(((C5-C6)/5)*2)+0</f>
        <v>0.052000000000000005</v>
      </c>
      <c r="D31" s="10">
        <f>D5-(((D5-D6)/5)*2)+0</f>
        <v>0.07</v>
      </c>
      <c r="E31" s="10">
        <f>(E32/E28)-1</f>
        <v>0.04782715700238538</v>
      </c>
    </row>
    <row r="32" spans="1:5" ht="26.25" customHeight="1">
      <c r="A32" s="1" t="s">
        <v>90</v>
      </c>
      <c r="B32" s="6">
        <f>B28*(1+B31)</f>
        <v>379.1055191871548</v>
      </c>
      <c r="C32" s="6">
        <f>C28*(1+C31)</f>
        <v>370.13481921783165</v>
      </c>
      <c r="D32" s="6">
        <f>D28*(1+D31)</f>
        <v>173.79436072244403</v>
      </c>
      <c r="E32" s="6">
        <f>SUM(B32:D32)</f>
        <v>923.0346991274305</v>
      </c>
    </row>
    <row r="33" spans="1:5" ht="26.25" customHeight="1">
      <c r="A33" s="1" t="s">
        <v>91</v>
      </c>
      <c r="E33" s="6">
        <f>'WD40_DCF_base'!I4+0</f>
        <v>921.451169131611</v>
      </c>
    </row>
    <row r="34" spans="1:5" ht="26.25" customHeight="1">
      <c r="A34" s="1" t="s">
        <v>92</v>
      </c>
      <c r="E34" s="6">
        <f>E33-E32</f>
        <v>-1.5835299958195037</v>
      </c>
    </row>
    <row r="35" spans="1:5" ht="26.25" customHeight="1">
      <c r="A35" s="1" t="s">
        <v>93</v>
      </c>
      <c r="B35" s="10">
        <f>B5-(((B5-B6)/5)*3)+0</f>
        <v>0.031</v>
      </c>
      <c r="C35" s="10">
        <f>C5-(((C5-C6)/5)*3)+0</f>
        <v>0.043000000000000003</v>
      </c>
      <c r="D35" s="10">
        <f>D5-(((D5-D6)/5)*3)+0</f>
        <v>0.05499999999999999</v>
      </c>
      <c r="E35" s="10">
        <f>(E36/E32)-1</f>
        <v>0.04033083284528116</v>
      </c>
    </row>
    <row r="36" spans="1:5" ht="26.25" customHeight="1">
      <c r="A36" s="1" t="s">
        <v>94</v>
      </c>
      <c r="B36" s="6">
        <f>B32*(1+B35)</f>
        <v>390.85779028195657</v>
      </c>
      <c r="C36" s="6">
        <f>C32*(1+C35)</f>
        <v>386.0506164441984</v>
      </c>
      <c r="D36" s="6">
        <f>D32*(1+D35)</f>
        <v>183.35305056217842</v>
      </c>
      <c r="E36" s="6">
        <f>SUM(B36:D36)</f>
        <v>960.2614572883333</v>
      </c>
    </row>
    <row r="37" spans="1:5" ht="26.25" customHeight="1">
      <c r="A37" s="1" t="s">
        <v>95</v>
      </c>
      <c r="E37" s="6">
        <f>'WD40_DCF_base'!J4+0</f>
        <v>957.9570081563141</v>
      </c>
    </row>
    <row r="38" spans="1:5" ht="26.25" customHeight="1">
      <c r="A38" s="1" t="s">
        <v>96</v>
      </c>
      <c r="E38" s="6">
        <f>E37-E36</f>
        <v>-2.3044491320191582</v>
      </c>
    </row>
    <row r="39" spans="1:5" ht="26.25" customHeight="1">
      <c r="A39" s="1" t="s">
        <v>97</v>
      </c>
      <c r="B39" s="10">
        <f>B5-(((B5-B6)/5)*4)+0</f>
        <v>0.028</v>
      </c>
      <c r="C39" s="10">
        <f>C5-(((C5-C6)/5)*4)+0</f>
        <v>0.034</v>
      </c>
      <c r="D39" s="10">
        <f>D5-(((D5-D6)/5)*4)+0</f>
        <v>0.039999999999999994</v>
      </c>
      <c r="E39" s="10">
        <f>(E40/E36)-1</f>
        <v>0.032703448494294074</v>
      </c>
    </row>
    <row r="40" spans="1:5" ht="26.25" customHeight="1">
      <c r="A40" s="1" t="s">
        <v>98</v>
      </c>
      <c r="B40" s="6">
        <f>B36*(1+B39)</f>
        <v>401.8018084098514</v>
      </c>
      <c r="C40" s="6">
        <f>C36*(1+C39)</f>
        <v>399.17633740330115</v>
      </c>
      <c r="D40" s="6">
        <f>D36*(1+D39)</f>
        <v>190.68717258466557</v>
      </c>
      <c r="E40" s="6">
        <f>SUM(B40:D40)</f>
        <v>991.665318397818</v>
      </c>
    </row>
    <row r="41" spans="1:5" ht="26.25" customHeight="1">
      <c r="A41" s="1" t="s">
        <v>99</v>
      </c>
      <c r="E41" s="6">
        <f>'WD40_DCF_base'!K4+0</f>
        <v>988.907530208764</v>
      </c>
    </row>
    <row r="42" spans="1:5" ht="26.25" customHeight="1">
      <c r="A42" s="1" t="s">
        <v>100</v>
      </c>
      <c r="E42" s="6">
        <f>E41-E40</f>
        <v>-2.757788189054054</v>
      </c>
    </row>
    <row r="43" spans="1:5" ht="26.25" customHeight="1">
      <c r="A43" s="1" t="s">
        <v>101</v>
      </c>
      <c r="B43" s="10">
        <f>B5-(((B5-B6)/5)*5)+0</f>
        <v>0.025</v>
      </c>
      <c r="C43" s="10">
        <f>C5-(((C5-C6)/5)*5)+0</f>
        <v>0.025</v>
      </c>
      <c r="D43" s="10">
        <f>D5-(((D5-D6)/5)*5)+0</f>
        <v>0.024999999999999994</v>
      </c>
      <c r="E43" s="10">
        <f>(E44/E40)-1</f>
        <v>0.02499999999999991</v>
      </c>
    </row>
    <row r="44" spans="1:5" ht="26.25" customHeight="1">
      <c r="A44" s="1" t="s">
        <v>102</v>
      </c>
      <c r="B44" s="6">
        <f>B40*(1+B43)</f>
        <v>411.84685362009765</v>
      </c>
      <c r="C44" s="6">
        <f>C40*(1+C43)</f>
        <v>409.15574583838367</v>
      </c>
      <c r="D44" s="6">
        <f>D40*(1+D43)</f>
        <v>195.4543518992822</v>
      </c>
      <c r="E44" s="6">
        <f>SUM(B44:D44)</f>
        <v>1016.4569513577635</v>
      </c>
    </row>
    <row r="45" spans="1:5" ht="26.25" customHeight="1">
      <c r="A45" s="1" t="s">
        <v>103</v>
      </c>
      <c r="E45" s="6">
        <f>'WD40_DCF_base'!L4+0</f>
        <v>1013.630218463983</v>
      </c>
    </row>
    <row r="46" spans="1:5" ht="26.25" customHeight="1">
      <c r="A46" s="1" t="s">
        <v>104</v>
      </c>
      <c r="E46" s="6">
        <f>E45-E44</f>
        <v>-2.826732893780445</v>
      </c>
    </row>
    <row r="47" spans="1:5" ht="26.25" customHeight="1">
      <c r="A47" s="1" t="s">
        <v>105</v>
      </c>
      <c r="E47" s="10">
        <f>E7+0</f>
        <v>0.06043620410171213</v>
      </c>
    </row>
    <row r="48" spans="1:5" ht="26.25" customHeight="1">
      <c r="A48" s="1" t="s">
        <v>106</v>
      </c>
      <c r="E48" s="10">
        <f>(E24/E8)^0.25-1</f>
        <v>0.06154442103835711</v>
      </c>
    </row>
    <row r="49" spans="1:2" ht="105.75" customHeight="1">
      <c r="A49" s="1" t="s">
        <v>107</v>
      </c>
      <c r="B49" s="7"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49"/>
  <sheetViews>
    <sheetView workbookViewId="0" showGridLines="0">
      <pane xSplit="1" ySplit="1" topLeftCell="B2" activePane="bottomRight" state="frozen"/>
      <selection pane="bottomRight" activeCell="B2" sqref="B2"/>
    </sheetView>
  </sheetViews>
  <sheetFormatPr defaultRowHeight="15"/>
  <cols>
    <col min="1" max="1" width="61.7109375" customWidth="1"/>
    <col min="2" max="5" width="24.7109375" customWidth="1"/>
  </cols>
  <sheetData>
    <row r="1" spans="1:5" ht="36" customHeight="1">
      <c r="A1" s="1" t="s">
        <v>110</v>
      </c>
      <c r="B1" s="2" t="s">
        <v>56</v>
      </c>
      <c r="C1" s="2" t="s">
        <v>57</v>
      </c>
      <c r="D1" s="2" t="s">
        <v>58</v>
      </c>
      <c r="E1" s="2" t="s">
        <v>59</v>
      </c>
    </row>
    <row r="2" spans="1:5" ht="26.25" customHeight="1">
      <c r="A2" s="1" t="s">
        <v>60</v>
      </c>
      <c r="B2" s="8">
        <v>290.599</v>
      </c>
      <c r="C2" s="8">
        <v>236.434</v>
      </c>
      <c r="D2" s="8">
        <v>92.952</v>
      </c>
      <c r="E2" s="6">
        <f>SUM(B2:D2)</f>
        <v>619.985</v>
      </c>
    </row>
    <row r="3" spans="1:5" ht="26.25" customHeight="1">
      <c r="A3" s="1" t="s">
        <v>61</v>
      </c>
      <c r="B3" s="8">
        <v>0</v>
      </c>
      <c r="C3" s="8">
        <v>0</v>
      </c>
      <c r="D3" s="8">
        <v>0</v>
      </c>
      <c r="E3" s="6">
        <f>SUM(B3:D3)</f>
        <v>0</v>
      </c>
    </row>
    <row r="4" spans="1:5" ht="26.25" customHeight="1">
      <c r="A4" s="1" t="s">
        <v>62</v>
      </c>
      <c r="B4" s="6">
        <f>B2-B3</f>
        <v>290.599</v>
      </c>
      <c r="C4" s="6">
        <f>C2-C3</f>
        <v>236.434</v>
      </c>
      <c r="D4" s="6">
        <f>D2-D3</f>
        <v>92.952</v>
      </c>
      <c r="E4" s="6">
        <f>SUM(B4:D4)</f>
        <v>619.985</v>
      </c>
    </row>
    <row r="5" spans="1:5" ht="26.25" customHeight="1">
      <c r="A5" s="1" t="s">
        <v>63</v>
      </c>
      <c r="B5" s="9">
        <v>0.06</v>
      </c>
      <c r="C5" s="9">
        <v>0.09</v>
      </c>
      <c r="D5" s="9">
        <v>0.13</v>
      </c>
    </row>
    <row r="6" spans="1:5" ht="26.25" customHeight="1">
      <c r="A6" s="1" t="s">
        <v>64</v>
      </c>
      <c r="B6" s="10">
        <f>'WD40_Inputs_bull'!B22+0</f>
        <v>0.03</v>
      </c>
      <c r="C6" s="10">
        <f>'WD40_Inputs_bull'!B22+0</f>
        <v>0.03</v>
      </c>
      <c r="D6" s="10">
        <f>'WD40_Inputs_bull'!B22+0</f>
        <v>0.03</v>
      </c>
    </row>
    <row r="7" spans="1:5" ht="26.25" customHeight="1">
      <c r="A7" s="1" t="s">
        <v>65</v>
      </c>
      <c r="B7" s="10">
        <f>B5+0</f>
        <v>0.06</v>
      </c>
      <c r="C7" s="10">
        <f>C5+0</f>
        <v>0.09</v>
      </c>
      <c r="D7" s="10">
        <f>D5+0</f>
        <v>0.13</v>
      </c>
      <c r="E7" s="10">
        <f>(E8/E2)-1</f>
        <v>0.08193546618063352</v>
      </c>
    </row>
    <row r="8" spans="1:5" ht="26.25" customHeight="1">
      <c r="A8" s="1" t="s">
        <v>66</v>
      </c>
      <c r="B8" s="6">
        <f>B4*(1+B7)</f>
        <v>308.03494</v>
      </c>
      <c r="C8" s="6">
        <f>C4*(1+C7)</f>
        <v>257.71306000000004</v>
      </c>
      <c r="D8" s="6">
        <f>D4*(1+D7)</f>
        <v>105.03575999999998</v>
      </c>
      <c r="E8" s="6">
        <f>SUM(B8:D8)</f>
        <v>670.78376</v>
      </c>
    </row>
    <row r="9" spans="1:5" ht="26.25" customHeight="1">
      <c r="A9" s="1" t="s">
        <v>67</v>
      </c>
      <c r="E9" s="6">
        <f>'WD40_DCF_bull'!C4+0</f>
        <v>670.7837600000001</v>
      </c>
    </row>
    <row r="10" spans="1:5" ht="26.25" customHeight="1">
      <c r="A10" s="1" t="s">
        <v>68</v>
      </c>
      <c r="E10" s="6">
        <f>E9-E8</f>
        <v>1.1368683772161603e-13</v>
      </c>
    </row>
    <row r="11" spans="1:5" ht="26.25" customHeight="1">
      <c r="A11" s="1" t="s">
        <v>69</v>
      </c>
      <c r="B11" s="10">
        <f>B5+0</f>
        <v>0.06</v>
      </c>
      <c r="C11" s="10">
        <f>C5+0</f>
        <v>0.09</v>
      </c>
      <c r="D11" s="10">
        <f>D5+0</f>
        <v>0.13</v>
      </c>
      <c r="E11" s="10">
        <f>(E12/E8)-1</f>
        <v>0.0824869710620304</v>
      </c>
    </row>
    <row r="12" spans="1:5" ht="26.25" customHeight="1">
      <c r="A12" s="1" t="s">
        <v>70</v>
      </c>
      <c r="B12" s="6">
        <f>B8*(1+B11)</f>
        <v>326.5170364</v>
      </c>
      <c r="C12" s="6">
        <f>C8*(1+C11)</f>
        <v>280.90723540000005</v>
      </c>
      <c r="D12" s="6">
        <f>D8*(1+D11)</f>
        <v>118.69040879999997</v>
      </c>
      <c r="E12" s="6">
        <f>SUM(B12:D12)</f>
        <v>726.1146806</v>
      </c>
    </row>
    <row r="13" spans="1:5" ht="26.25" customHeight="1">
      <c r="A13" s="1" t="s">
        <v>71</v>
      </c>
      <c r="E13" s="6">
        <f>'WD40_DCF_bull'!D4+0</f>
        <v>726.6854164167555</v>
      </c>
    </row>
    <row r="14" spans="1:5" ht="26.25" customHeight="1">
      <c r="A14" s="1" t="s">
        <v>72</v>
      </c>
      <c r="E14" s="6">
        <f>E13-E12</f>
        <v>0.570735816755473</v>
      </c>
    </row>
    <row r="15" spans="1:5" ht="26.25" customHeight="1">
      <c r="A15" s="1" t="s">
        <v>73</v>
      </c>
      <c r="B15" s="10">
        <f>B5+0</f>
        <v>0.06</v>
      </c>
      <c r="C15" s="10">
        <f>C5+0</f>
        <v>0.09</v>
      </c>
      <c r="D15" s="10">
        <f>D5+0</f>
        <v>0.13</v>
      </c>
      <c r="E15" s="10">
        <f>(E16/E12)-1</f>
        <v>0.08304807508391265</v>
      </c>
    </row>
    <row r="16" spans="1:5" ht="26.25" customHeight="1">
      <c r="A16" s="1" t="s">
        <v>74</v>
      </c>
      <c r="B16" s="6">
        <f>B12*(1+B15)</f>
        <v>346.108058584</v>
      </c>
      <c r="C16" s="6">
        <f>C12*(1+C15)</f>
        <v>306.1888865860001</v>
      </c>
      <c r="D16" s="6">
        <f>D12*(1+D15)</f>
        <v>134.12016194399996</v>
      </c>
      <c r="E16" s="6">
        <f>SUM(B16:D16)</f>
        <v>786.417107114</v>
      </c>
    </row>
    <row r="17" spans="1:5" ht="26.25" customHeight="1">
      <c r="A17" s="1" t="s">
        <v>75</v>
      </c>
      <c r="E17" s="6">
        <f>'WD40_DCF_bull'!E4+0</f>
        <v>787.2457950275858</v>
      </c>
    </row>
    <row r="18" spans="1:5" ht="26.25" customHeight="1">
      <c r="A18" s="1" t="s">
        <v>76</v>
      </c>
      <c r="E18" s="6">
        <f>E17-E16</f>
        <v>0.8286879135857816</v>
      </c>
    </row>
    <row r="19" spans="1:5" ht="26.25" customHeight="1">
      <c r="A19" s="1" t="s">
        <v>77</v>
      </c>
      <c r="B19" s="10">
        <f>B5+0</f>
        <v>0.06</v>
      </c>
      <c r="C19" s="10">
        <f>C5+0</f>
        <v>0.09</v>
      </c>
      <c r="D19" s="10">
        <f>D5+0</f>
        <v>0.13</v>
      </c>
      <c r="E19" s="10">
        <f>(E20/E16)-1</f>
        <v>0.08361860870730964</v>
      </c>
    </row>
    <row r="20" spans="1:5" ht="26.25" customHeight="1">
      <c r="A20" s="1" t="s">
        <v>78</v>
      </c>
      <c r="B20" s="6">
        <f>B16*(1+B19)</f>
        <v>366.87454209904</v>
      </c>
      <c r="C20" s="6">
        <f>C16*(1+C19)</f>
        <v>333.7458863787401</v>
      </c>
      <c r="D20" s="6">
        <f>D16*(1+D19)</f>
        <v>151.55578299671993</v>
      </c>
      <c r="E20" s="6">
        <f>SUM(B20:D20)</f>
        <v>852.1762114745001</v>
      </c>
    </row>
    <row r="21" spans="1:5" ht="26.25" customHeight="1">
      <c r="A21" s="1" t="s">
        <v>79</v>
      </c>
      <c r="E21" s="6">
        <f>'WD40_DCF_bull'!F4+0</f>
        <v>852.8531435852902</v>
      </c>
    </row>
    <row r="22" spans="1:5" ht="26.25" customHeight="1">
      <c r="A22" s="1" t="s">
        <v>80</v>
      </c>
      <c r="E22" s="6">
        <f>E21-E20</f>
        <v>0.676932110790176</v>
      </c>
    </row>
    <row r="23" spans="1:5" ht="26.25" customHeight="1">
      <c r="A23" s="1" t="s">
        <v>81</v>
      </c>
      <c r="B23" s="10">
        <f>B5+0</f>
        <v>0.06</v>
      </c>
      <c r="C23" s="10">
        <f>C5+0</f>
        <v>0.09</v>
      </c>
      <c r="D23" s="10">
        <f>D5+0</f>
        <v>0.13</v>
      </c>
      <c r="E23" s="10">
        <f>(E24/E20)-1</f>
        <v>0.08419837719413925</v>
      </c>
    </row>
    <row r="24" spans="1:5" ht="26.25" customHeight="1">
      <c r="A24" s="1" t="s">
        <v>82</v>
      </c>
      <c r="B24" s="6">
        <f>B20*(1+B23)</f>
        <v>388.88701462498244</v>
      </c>
      <c r="C24" s="6">
        <f>C20*(1+C23)</f>
        <v>363.78301615282675</v>
      </c>
      <c r="D24" s="6">
        <f>D20*(1+D23)</f>
        <v>171.2580347862935</v>
      </c>
      <c r="E24" s="6">
        <f>SUM(B24:D24)</f>
        <v>923.9280655641027</v>
      </c>
    </row>
    <row r="25" spans="1:5" ht="26.25" customHeight="1">
      <c r="A25" s="1" t="s">
        <v>83</v>
      </c>
      <c r="E25" s="6">
        <f>'WD40_DCF_bull'!G4+0</f>
        <v>923.928065564103</v>
      </c>
    </row>
    <row r="26" spans="1:5" ht="26.25" customHeight="1">
      <c r="A26" s="1" t="s">
        <v>84</v>
      </c>
      <c r="E26" s="6">
        <f>E25-E24</f>
        <v>3.410605131648481e-13</v>
      </c>
    </row>
    <row r="27" spans="1:5" ht="26.25" customHeight="1">
      <c r="A27" s="1" t="s">
        <v>85</v>
      </c>
      <c r="B27" s="10">
        <f>B5-(((B5-B6)/5)*1)+0</f>
        <v>0.054</v>
      </c>
      <c r="C27" s="10">
        <f>C5-(((C5-C6)/5)*1)+0</f>
        <v>0.078</v>
      </c>
      <c r="D27" s="10">
        <f>D5-(((D5-D6)/5)*1)+0</f>
        <v>0.11</v>
      </c>
      <c r="E27" s="10">
        <f>(E28/E24)-1</f>
        <v>0.07382972811256083</v>
      </c>
    </row>
    <row r="28" spans="1:5" ht="26.25" customHeight="1">
      <c r="A28" s="1" t="s">
        <v>86</v>
      </c>
      <c r="B28" s="6">
        <f>B24*(1+B27)</f>
        <v>409.8869134147315</v>
      </c>
      <c r="C28" s="6">
        <f>C24*(1+C27)</f>
        <v>392.15809141274724</v>
      </c>
      <c r="D28" s="6">
        <f>D24*(1+D27)</f>
        <v>190.0964186127858</v>
      </c>
      <c r="E28" s="6">
        <f>SUM(B28:D28)</f>
        <v>992.1414234402646</v>
      </c>
    </row>
    <row r="29" spans="1:5" ht="26.25" customHeight="1">
      <c r="A29" s="1" t="s">
        <v>87</v>
      </c>
      <c r="E29" s="6">
        <f>'WD40_DCF_bull'!H4+0</f>
        <v>991.0701547981973</v>
      </c>
    </row>
    <row r="30" spans="1:5" ht="26.25" customHeight="1">
      <c r="A30" s="1" t="s">
        <v>88</v>
      </c>
      <c r="E30" s="6">
        <f>E29-E28</f>
        <v>-1.0712686420672526</v>
      </c>
    </row>
    <row r="31" spans="1:5" ht="26.25" customHeight="1">
      <c r="A31" s="1" t="s">
        <v>89</v>
      </c>
      <c r="B31" s="10">
        <f>B5-(((B5-B6)/5)*2)+0</f>
        <v>0.048</v>
      </c>
      <c r="C31" s="10">
        <f>C5-(((C5-C6)/5)*2)+0</f>
        <v>0.066</v>
      </c>
      <c r="D31" s="10">
        <f>D5-(((D5-D6)/5)*2)+0</f>
        <v>0.09</v>
      </c>
      <c r="E31" s="10">
        <f>(E32/E28)-1</f>
        <v>0.06316204733696651</v>
      </c>
    </row>
    <row r="32" spans="1:5" ht="26.25" customHeight="1">
      <c r="A32" s="1" t="s">
        <v>90</v>
      </c>
      <c r="B32" s="6">
        <f>B28*(1+B31)</f>
        <v>429.56148525863864</v>
      </c>
      <c r="C32" s="6">
        <f>C28*(1+C31)</f>
        <v>418.0405254459886</v>
      </c>
      <c r="D32" s="6">
        <f>D28*(1+D31)</f>
        <v>207.20509628793656</v>
      </c>
      <c r="E32" s="6">
        <f>SUM(B32:D32)</f>
        <v>1054.8071069925638</v>
      </c>
    </row>
    <row r="33" spans="1:5" ht="26.25" customHeight="1">
      <c r="A33" s="1" t="s">
        <v>91</v>
      </c>
      <c r="E33" s="6">
        <f>'WD40_DCF_bull'!I4+0</f>
        <v>1052.5191725045436</v>
      </c>
    </row>
    <row r="34" spans="1:5" ht="26.25" customHeight="1">
      <c r="A34" s="1" t="s">
        <v>92</v>
      </c>
      <c r="E34" s="6">
        <f>E33-E32</f>
        <v>-2.2879344880202552</v>
      </c>
    </row>
    <row r="35" spans="1:5" ht="26.25" customHeight="1">
      <c r="A35" s="1" t="s">
        <v>93</v>
      </c>
      <c r="B35" s="10">
        <f>B5-(((B5-B6)/5)*3)+0</f>
        <v>0.041999999999999996</v>
      </c>
      <c r="C35" s="10">
        <f>C5-(((C5-C6)/5)*3)+0</f>
        <v>0.05399999999999999</v>
      </c>
      <c r="D35" s="10">
        <f>D5-(((D5-D6)/5)*3)+0</f>
        <v>0.07</v>
      </c>
      <c r="E35" s="10">
        <f>(E36/E32)-1</f>
        <v>0.05225612069704266</v>
      </c>
    </row>
    <row r="36" spans="1:5" ht="26.25" customHeight="1">
      <c r="A36" s="1" t="s">
        <v>94</v>
      </c>
      <c r="B36" s="6">
        <f>B32*(1+B35)</f>
        <v>447.6030676395015</v>
      </c>
      <c r="C36" s="6">
        <f>C32*(1+C35)</f>
        <v>440.614713820072</v>
      </c>
      <c r="D36" s="6">
        <f>D32*(1+D35)</f>
        <v>221.70945302809213</v>
      </c>
      <c r="E36" s="6">
        <f>SUM(B36:D36)</f>
        <v>1109.9272344876656</v>
      </c>
    </row>
    <row r="37" spans="1:5" ht="26.25" customHeight="1">
      <c r="A37" s="1" t="s">
        <v>95</v>
      </c>
      <c r="E37" s="6">
        <f>'WD40_DCF_bull'!J4+0</f>
        <v>1106.5503790523035</v>
      </c>
    </row>
    <row r="38" spans="1:5" ht="26.25" customHeight="1">
      <c r="A38" s="1" t="s">
        <v>96</v>
      </c>
      <c r="E38" s="6">
        <f>E37-E36</f>
        <v>-3.376855435362131</v>
      </c>
    </row>
    <row r="39" spans="1:5" ht="26.25" customHeight="1">
      <c r="A39" s="1" t="s">
        <v>97</v>
      </c>
      <c r="B39" s="10">
        <f>B5-(((B5-B6)/5)*4)+0</f>
        <v>0.036</v>
      </c>
      <c r="C39" s="10">
        <f>C5-(((C5-C6)/5)*4)+0</f>
        <v>0.041999999999999996</v>
      </c>
      <c r="D39" s="10">
        <f>D5-(((D5-D6)/5)*4)+0</f>
        <v>0.05</v>
      </c>
      <c r="E39" s="10">
        <f>(E40/E36)-1</f>
        <v>0.04117837606531638</v>
      </c>
    </row>
    <row r="40" spans="1:5" ht="26.25" customHeight="1">
      <c r="A40" s="1" t="s">
        <v>98</v>
      </c>
      <c r="B40" s="6">
        <f>B36*(1+B39)</f>
        <v>463.7167780745236</v>
      </c>
      <c r="C40" s="6">
        <f>C36*(1+C39)</f>
        <v>459.12053180051504</v>
      </c>
      <c r="D40" s="6">
        <f>D36*(1+D39)</f>
        <v>232.79492567949674</v>
      </c>
      <c r="E40" s="6">
        <f>SUM(B40:D40)</f>
        <v>1155.6322355545353</v>
      </c>
    </row>
    <row r="41" spans="1:5" ht="26.25" customHeight="1">
      <c r="A41" s="1" t="s">
        <v>99</v>
      </c>
      <c r="E41" s="6">
        <f>'WD40_DCF_bull'!K4+0</f>
        <v>1151.5510874667193</v>
      </c>
    </row>
    <row r="42" spans="1:5" ht="26.25" customHeight="1">
      <c r="A42" s="1" t="s">
        <v>100</v>
      </c>
      <c r="E42" s="6">
        <f>E41-E40</f>
        <v>-4.081148087816018</v>
      </c>
    </row>
    <row r="43" spans="1:5" ht="26.25" customHeight="1">
      <c r="A43" s="1" t="s">
        <v>101</v>
      </c>
      <c r="B43" s="10">
        <f>B5-(((B5-B6)/5)*5)+0</f>
        <v>0.03</v>
      </c>
      <c r="C43" s="10">
        <f>C5-(((C5-C6)/5)*5)+0</f>
        <v>0.03</v>
      </c>
      <c r="D43" s="10">
        <f>D5-(((D5-D6)/5)*5)+0</f>
        <v>0.03</v>
      </c>
      <c r="E43" s="10">
        <f>(E44/E40)-1</f>
        <v>0.030000000000000027</v>
      </c>
    </row>
    <row r="44" spans="1:5" ht="26.25" customHeight="1">
      <c r="A44" s="1" t="s">
        <v>102</v>
      </c>
      <c r="B44" s="6">
        <f>B40*(1+B43)</f>
        <v>477.6282814167593</v>
      </c>
      <c r="C44" s="6">
        <f>C40*(1+C43)</f>
        <v>472.8941477545305</v>
      </c>
      <c r="D44" s="6">
        <f>D40*(1+D43)</f>
        <v>239.77877344988164</v>
      </c>
      <c r="E44" s="6">
        <f>SUM(B44:D44)</f>
        <v>1190.3012026211713</v>
      </c>
    </row>
    <row r="45" spans="1:5" ht="26.25" customHeight="1">
      <c r="A45" s="1" t="s">
        <v>103</v>
      </c>
      <c r="E45" s="6">
        <f>'WD40_DCF_bull'!L4+0</f>
        <v>1186.097620090721</v>
      </c>
    </row>
    <row r="46" spans="1:5" ht="26.25" customHeight="1">
      <c r="A46" s="1" t="s">
        <v>104</v>
      </c>
      <c r="E46" s="6">
        <f>E45-E44</f>
        <v>-4.203582530450376</v>
      </c>
    </row>
    <row r="47" spans="1:5" ht="26.25" customHeight="1">
      <c r="A47" s="1" t="s">
        <v>105</v>
      </c>
      <c r="E47" s="10">
        <f>E7+0</f>
        <v>0.08193546618063352</v>
      </c>
    </row>
    <row r="48" spans="1:5" ht="26.25" customHeight="1">
      <c r="A48" s="1" t="s">
        <v>106</v>
      </c>
      <c r="E48" s="10">
        <f>(E24/E8)^0.25-1</f>
        <v>0.08333782024889125</v>
      </c>
    </row>
    <row r="49" spans="1:2" ht="105.75" customHeight="1">
      <c r="A49" s="1" t="s">
        <v>107</v>
      </c>
      <c r="B49" s="7" t="s">
        <v>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8"/>
  <sheetViews>
    <sheetView workbookViewId="0" showGridLines="0">
      <pane xSplit="1" ySplit="1" topLeftCell="B2" activePane="bottomRight" state="frozen"/>
      <selection pane="bottomRight" activeCell="B2" sqref="B2"/>
    </sheetView>
  </sheetViews>
  <sheetFormatPr defaultRowHeight="15"/>
  <cols>
    <col min="1" max="1" width="65.7109375" customWidth="1"/>
    <col min="2" max="2" width="30.7109375" customWidth="1"/>
  </cols>
  <sheetData>
    <row r="1" spans="1:2" ht="36" customHeight="1">
      <c r="A1" s="1" t="s">
        <v>158</v>
      </c>
      <c r="B1" s="2" t="s">
        <v>111</v>
      </c>
    </row>
    <row r="2" spans="1:2" ht="26.25" customHeight="1">
      <c r="A2" s="1" t="s">
        <v>112</v>
      </c>
      <c r="B2" s="8">
        <v>619.985</v>
      </c>
    </row>
    <row r="3" spans="1:2" ht="26.25" customHeight="1">
      <c r="A3" s="1" t="s">
        <v>113</v>
      </c>
      <c r="B3" s="8">
        <v>103.793</v>
      </c>
    </row>
    <row r="4" spans="1:2" ht="26.25" customHeight="1">
      <c r="A4" s="1" t="s">
        <v>114</v>
      </c>
      <c r="B4" s="8">
        <v>268.472</v>
      </c>
    </row>
    <row r="5" spans="1:2" ht="26.25" customHeight="1">
      <c r="A5" s="1" t="s">
        <v>115</v>
      </c>
      <c r="B5" s="8">
        <v>86.995</v>
      </c>
    </row>
    <row r="6" spans="1:2" ht="26.25" customHeight="1">
      <c r="A6" s="1" t="s">
        <v>116</v>
      </c>
      <c r="B6" s="8">
        <v>58.13</v>
      </c>
    </row>
    <row r="7" spans="1:2" ht="26.25" customHeight="1">
      <c r="A7" s="1" t="s">
        <v>117</v>
      </c>
      <c r="B7" s="8">
        <v>0</v>
      </c>
    </row>
    <row r="8" spans="1:2" ht="26.25" customHeight="1">
      <c r="A8" s="1" t="s">
        <v>118</v>
      </c>
      <c r="B8" s="8">
        <v>0</v>
      </c>
    </row>
    <row r="9" spans="1:2" ht="26.25" customHeight="1">
      <c r="A9" s="1" t="s">
        <v>119</v>
      </c>
      <c r="B9" s="8">
        <v>13.633263</v>
      </c>
    </row>
    <row r="10" spans="1:2" ht="26.25" customHeight="1">
      <c r="A10" s="1" t="s">
        <v>120</v>
      </c>
      <c r="B10" s="8">
        <v>216.04</v>
      </c>
    </row>
    <row r="11" spans="1:2" ht="26.25" customHeight="1">
      <c r="A11" s="1" t="s">
        <v>121</v>
      </c>
      <c r="B11" s="9">
        <v>0.2220002755200441</v>
      </c>
    </row>
    <row r="12" spans="1:2" ht="26.25" customHeight="1">
      <c r="A12" s="1" t="s">
        <v>122</v>
      </c>
      <c r="B12" s="9">
        <v>0.25</v>
      </c>
    </row>
    <row r="13" spans="1:2" ht="26.25" customHeight="1">
      <c r="A13" s="1" t="s">
        <v>123</v>
      </c>
      <c r="B13" s="9">
        <v>0.05</v>
      </c>
    </row>
    <row r="14" spans="1:2" ht="26.25" customHeight="1">
      <c r="A14" s="1" t="s">
        <v>124</v>
      </c>
      <c r="B14" s="10">
        <f>B13+0</f>
        <v>0.05</v>
      </c>
    </row>
    <row r="15" spans="1:2" ht="26.25" customHeight="1">
      <c r="A15" s="1" t="s">
        <v>125</v>
      </c>
      <c r="B15" s="10">
        <f>B44/B2</f>
        <v>0.17106811723939558</v>
      </c>
    </row>
    <row r="16" spans="1:2" ht="26.25" customHeight="1">
      <c r="A16" s="1" t="s">
        <v>126</v>
      </c>
      <c r="B16" s="10">
        <f>B15+0</f>
        <v>0.17106811723939558</v>
      </c>
    </row>
    <row r="17" spans="1:2" ht="26.25" customHeight="1">
      <c r="A17" s="1" t="s">
        <v>127</v>
      </c>
      <c r="B17" s="11">
        <v>5</v>
      </c>
    </row>
    <row r="18" spans="1:2" ht="26.25" customHeight="1">
      <c r="A18" s="1" t="s">
        <v>128</v>
      </c>
      <c r="B18" s="8">
        <v>2</v>
      </c>
    </row>
    <row r="19" spans="1:2" ht="26.25" customHeight="1">
      <c r="A19" s="1" t="s">
        <v>129</v>
      </c>
      <c r="B19" s="6">
        <f>B18+0</f>
        <v>2</v>
      </c>
    </row>
    <row r="20" spans="1:2" ht="26.25" customHeight="1">
      <c r="A20" s="1" t="s">
        <v>130</v>
      </c>
      <c r="B20" s="9">
        <v>0.09</v>
      </c>
    </row>
    <row r="21" spans="1:2" ht="26.25" customHeight="1">
      <c r="A21" s="1" t="s">
        <v>131</v>
      </c>
      <c r="B21" s="9">
        <v>0.08</v>
      </c>
    </row>
    <row r="22" spans="1:2" ht="26.25" customHeight="1">
      <c r="A22" s="1" t="s">
        <v>64</v>
      </c>
      <c r="B22" s="9">
        <v>0.025</v>
      </c>
    </row>
    <row r="23" spans="1:2" ht="26.25" customHeight="1">
      <c r="A23" s="1" t="s">
        <v>132</v>
      </c>
      <c r="B23" s="11">
        <v>0</v>
      </c>
    </row>
    <row r="24" spans="1:2" ht="26.25" customHeight="1">
      <c r="A24" s="1" t="s">
        <v>133</v>
      </c>
      <c r="B24" s="9">
        <v>0.15</v>
      </c>
    </row>
    <row r="25" spans="1:2" ht="26.25" customHeight="1">
      <c r="A25" s="1" t="s">
        <v>134</v>
      </c>
      <c r="B25" s="8">
        <v>8.699999999999999</v>
      </c>
    </row>
    <row r="26" spans="1:2" ht="26.25" customHeight="1">
      <c r="A26" s="1" t="s">
        <v>135</v>
      </c>
      <c r="B26" s="11">
        <v>3</v>
      </c>
    </row>
    <row r="27" spans="1:2" ht="26.25" customHeight="1">
      <c r="A27" s="1" t="s">
        <v>136</v>
      </c>
      <c r="B27" s="11">
        <v>1</v>
      </c>
    </row>
    <row r="28" spans="1:2" ht="26.25" customHeight="1">
      <c r="A28" s="1" t="s">
        <v>137</v>
      </c>
      <c r="B28" s="8">
        <v>0</v>
      </c>
    </row>
    <row r="29" spans="1:2" ht="26.25" customHeight="1">
      <c r="A29" s="1" t="s">
        <v>138</v>
      </c>
      <c r="B29" s="11">
        <v>0</v>
      </c>
    </row>
    <row r="30" spans="1:2" ht="26.25" customHeight="1">
      <c r="A30" s="1" t="s">
        <v>139</v>
      </c>
      <c r="B30" s="11">
        <v>0</v>
      </c>
    </row>
    <row r="31" spans="1:2" ht="26.25" customHeight="1">
      <c r="A31" s="1" t="s">
        <v>140</v>
      </c>
      <c r="B31" s="11">
        <v>1</v>
      </c>
    </row>
    <row r="32" spans="1:2" ht="26.25" customHeight="1">
      <c r="A32" s="1" t="s">
        <v>141</v>
      </c>
      <c r="B32" s="9">
        <v>0</v>
      </c>
    </row>
    <row r="33" spans="1:2" ht="26.25" customHeight="1">
      <c r="A33" s="1" t="s">
        <v>142</v>
      </c>
      <c r="B33" s="9">
        <v>0.5</v>
      </c>
    </row>
    <row r="34" spans="1:2" ht="26.25" customHeight="1">
      <c r="A34" s="1" t="s">
        <v>143</v>
      </c>
      <c r="B34" s="11">
        <v>0</v>
      </c>
    </row>
    <row r="35" spans="1:2" ht="26.25" customHeight="1">
      <c r="A35" s="1" t="s">
        <v>144</v>
      </c>
      <c r="B35" s="8">
        <v>0</v>
      </c>
    </row>
    <row r="36" spans="1:2" ht="26.25" customHeight="1">
      <c r="A36" s="1" t="s">
        <v>145</v>
      </c>
      <c r="B36" s="9">
        <v>0</v>
      </c>
    </row>
    <row r="37" spans="1:2" ht="26.25" customHeight="1">
      <c r="A37" s="1" t="s">
        <v>146</v>
      </c>
      <c r="B37" s="11">
        <v>0</v>
      </c>
    </row>
    <row r="38" spans="1:2" ht="26.25" customHeight="1">
      <c r="A38" s="1" t="s">
        <v>147</v>
      </c>
      <c r="B38" s="8">
        <v>8</v>
      </c>
    </row>
    <row r="39" spans="1:2" ht="26.25" customHeight="1">
      <c r="A39" s="1" t="s">
        <v>148</v>
      </c>
      <c r="B39" s="8">
        <v>6.2</v>
      </c>
    </row>
    <row r="40" spans="1:2" ht="26.25" customHeight="1">
      <c r="A40" s="1" t="s">
        <v>149</v>
      </c>
      <c r="B40" s="8">
        <v>5.1</v>
      </c>
    </row>
    <row r="41" spans="1:2" ht="26.25" customHeight="1">
      <c r="A41" s="1" t="s">
        <v>150</v>
      </c>
      <c r="B41" s="8">
        <v>5.6</v>
      </c>
    </row>
    <row r="42" spans="1:2" ht="26.25" customHeight="1">
      <c r="A42" s="1" t="s">
        <v>151</v>
      </c>
      <c r="B42" s="6">
        <f>0+IF(1&lt;=B26,(B38/B26),0)+IF(2&lt;=B26,(B39/B26),0)+IF(3&lt;=B26,(B40/B26),0)+IF(4&lt;=B26,(B41/B26),0)</f>
        <v>6.433333333333334</v>
      </c>
    </row>
    <row r="43" spans="1:2" ht="26.25" customHeight="1">
      <c r="A43" s="1" t="s">
        <v>152</v>
      </c>
      <c r="B43" s="6">
        <f>B25+IF(1&lt;B26,(B38*((B26-1)/B26)),0)+IF(2&lt;B26,(B39*((B26-2)/B26)),0)+IF(3&lt;B26,(B40*((B26-3)/B26)),0)+IF(4&lt;B26,(B41*((B26-4)/B26)),0)</f>
        <v>16.099999999999998</v>
      </c>
    </row>
    <row r="44" spans="1:2" ht="26.25" customHeight="1">
      <c r="A44" s="1" t="s">
        <v>153</v>
      </c>
      <c r="B44" s="6">
        <f>B3+IF(B27=1,(B25-B42),0)</f>
        <v>106.05966666666667</v>
      </c>
    </row>
    <row r="45" spans="1:2" ht="26.25" customHeight="1">
      <c r="A45" s="1" t="s">
        <v>154</v>
      </c>
      <c r="B45" s="6">
        <f>B4+B5-B6+IF(B27=1,B43,0)</f>
        <v>313.437</v>
      </c>
    </row>
    <row r="46" spans="1:2" ht="26.25" customHeight="1">
      <c r="A46" s="1" t="s">
        <v>155</v>
      </c>
      <c r="B46" s="10">
        <f>IF(B29=1,B11,B12)</f>
        <v>0.25</v>
      </c>
    </row>
    <row r="47" spans="1:2" ht="26.25" customHeight="1">
      <c r="A47" s="1" t="s">
        <v>156</v>
      </c>
      <c r="B47" s="10">
        <f>IF(B23=1,B24,B21)</f>
        <v>0.08</v>
      </c>
    </row>
    <row r="48" spans="1:2" ht="26.25" customHeight="1">
      <c r="A48" s="1" t="s">
        <v>157</v>
      </c>
      <c r="B48" s="6">
        <f>B6-IF(B37=1,(B35*(B12-B36)),0)</f>
        <v>58.13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35"/>
  <sheetViews>
    <sheetView workbookViewId="0" showGridLines="0">
      <pane xSplit="1" ySplit="1" topLeftCell="B2" activePane="bottomRight" state="frozen"/>
      <selection pane="bottomRight" activeCell="B2" sqref="B2"/>
    </sheetView>
  </sheetViews>
  <sheetFormatPr defaultRowHeight="15"/>
  <cols>
    <col min="1" max="1" width="58.7109375" customWidth="1"/>
    <col min="2" max="13" width="22.7109375" customWidth="1"/>
  </cols>
  <sheetData>
    <row r="1" spans="1:13" ht="36" customHeight="1">
      <c r="A1" s="1" t="s">
        <v>199</v>
      </c>
      <c r="B1" s="2" t="s">
        <v>11</v>
      </c>
      <c r="C1" s="2" t="s">
        <v>159</v>
      </c>
      <c r="D1" s="2" t="s">
        <v>160</v>
      </c>
      <c r="E1" s="2" t="s">
        <v>161</v>
      </c>
      <c r="F1" s="2" t="s">
        <v>162</v>
      </c>
      <c r="G1" s="2" t="s">
        <v>163</v>
      </c>
      <c r="H1" s="2" t="s">
        <v>164</v>
      </c>
      <c r="I1" s="2" t="s">
        <v>165</v>
      </c>
      <c r="J1" s="2" t="s">
        <v>166</v>
      </c>
      <c r="K1" s="2" t="s">
        <v>167</v>
      </c>
      <c r="L1" s="2" t="s">
        <v>168</v>
      </c>
      <c r="M1" s="2" t="s">
        <v>169</v>
      </c>
    </row>
    <row r="2" spans="1:13" ht="26.25" customHeight="1">
      <c r="A2" s="1" t="s">
        <v>170</v>
      </c>
      <c r="B2" s="12">
        <v>0</v>
      </c>
      <c r="C2" s="12">
        <v>1</v>
      </c>
      <c r="D2" s="12">
        <v>2</v>
      </c>
      <c r="E2" s="12">
        <v>3</v>
      </c>
      <c r="F2" s="12">
        <v>4</v>
      </c>
      <c r="G2" s="12">
        <v>5</v>
      </c>
      <c r="H2" s="12">
        <v>6</v>
      </c>
      <c r="I2" s="12">
        <v>7</v>
      </c>
      <c r="J2" s="12">
        <v>8</v>
      </c>
      <c r="K2" s="12">
        <v>9</v>
      </c>
      <c r="L2" s="12">
        <v>10</v>
      </c>
      <c r="M2" s="12">
        <v>11</v>
      </c>
    </row>
    <row r="3" spans="1:13" ht="26.25" customHeight="1">
      <c r="A3" s="1" t="s">
        <v>171</v>
      </c>
      <c r="C3" s="5">
        <f>'WD40_Inputs_original'!B13+0</f>
        <v>0.05</v>
      </c>
      <c r="D3" s="5">
        <f>'WD40_Inputs_original'!B14+0</f>
        <v>0.05</v>
      </c>
      <c r="E3" s="5">
        <f>'WD40_Inputs_original'!B14+0</f>
        <v>0.05</v>
      </c>
      <c r="F3" s="5">
        <f>'WD40_Inputs_original'!B14+0</f>
        <v>0.05</v>
      </c>
      <c r="G3" s="5">
        <f>'WD40_Inputs_original'!B14+0</f>
        <v>0.05</v>
      </c>
      <c r="H3" s="5">
        <f>'WD40_Inputs_original'!B14+0-((('WD40_Inputs_original'!B14+0-'WD40_Inputs_original'!B22+0)/5)*1)</f>
        <v>0.045000000000000005</v>
      </c>
      <c r="I3" s="5">
        <f>'WD40_Inputs_original'!B14+0-((('WD40_Inputs_original'!B14+0-'WD40_Inputs_original'!B22+0)/5)*2)</f>
        <v>0.04</v>
      </c>
      <c r="J3" s="5">
        <f>'WD40_Inputs_original'!B14+0-((('WD40_Inputs_original'!B14+0-'WD40_Inputs_original'!B22+0)/5)*3)</f>
        <v>0.035</v>
      </c>
      <c r="K3" s="5">
        <f>'WD40_Inputs_original'!B14+0-((('WD40_Inputs_original'!B14+0-'WD40_Inputs_original'!B22+0)/5)*4)</f>
        <v>0.030000000000000002</v>
      </c>
      <c r="L3" s="5">
        <f>'WD40_Inputs_original'!B14+0-((('WD40_Inputs_original'!B14+0-'WD40_Inputs_original'!B22+0)/5)*5)</f>
        <v>0.025</v>
      </c>
      <c r="M3" s="5">
        <f>'WD40_Inputs_original'!B22+0</f>
        <v>0.025</v>
      </c>
    </row>
    <row r="4" spans="1:13" ht="26.25" customHeight="1">
      <c r="A4" s="1" t="s">
        <v>172</v>
      </c>
      <c r="B4" s="4">
        <f>'WD40_Inputs_original'!B2+0</f>
        <v>619.985</v>
      </c>
      <c r="C4" s="4">
        <f>B4*(1+C3)</f>
        <v>650.9842500000001</v>
      </c>
      <c r="D4" s="4">
        <f>C4*(1+D3)</f>
        <v>683.5334625000002</v>
      </c>
      <c r="E4" s="4">
        <f>D4*(1+E3)</f>
        <v>717.7101356250002</v>
      </c>
      <c r="F4" s="4">
        <f>E4*(1+F3)</f>
        <v>753.5956424062502</v>
      </c>
      <c r="G4" s="4">
        <f>F4*(1+G3)</f>
        <v>791.2754245265628</v>
      </c>
      <c r="H4" s="4">
        <f>G4*(1+H3)</f>
        <v>826.882818630258</v>
      </c>
      <c r="I4" s="4">
        <f>H4*(1+I3)</f>
        <v>859.9581313754684</v>
      </c>
      <c r="J4" s="4">
        <f>I4*(1+J3)</f>
        <v>890.0566659736097</v>
      </c>
      <c r="K4" s="4">
        <f>J4*(1+K3)</f>
        <v>916.758365952818</v>
      </c>
      <c r="L4" s="4">
        <f>K4*(1+L3)</f>
        <v>939.6773251016384</v>
      </c>
      <c r="M4" s="4">
        <f>L4*(1+M3)</f>
        <v>963.1692582291793</v>
      </c>
    </row>
    <row r="5" spans="1:13" ht="26.25" customHeight="1">
      <c r="A5" s="1" t="s">
        <v>173</v>
      </c>
      <c r="B5" s="5">
        <f>B6/B4</f>
        <v>0.17106811723939558</v>
      </c>
      <c r="C5" s="5">
        <f>'WD40_Inputs_original'!B15+0</f>
        <v>0.17106811723939558</v>
      </c>
      <c r="D5" s="5">
        <f>IF(2&gt;'WD40_Inputs_original'!B17+0,'WD40_Inputs_original'!B16+0,'WD40_Inputs_original'!B16+0-((('WD40_Inputs_original'!B16+0-'WD40_Inputs_original'!B15+0)/'WD40_Inputs_original'!B17+0)*('WD40_Inputs_original'!B17+0-2)))</f>
        <v>0.17106811723939558</v>
      </c>
      <c r="E5" s="5">
        <f>IF(3&gt;'WD40_Inputs_original'!B17+0,'WD40_Inputs_original'!B16+0,'WD40_Inputs_original'!B16+0-((('WD40_Inputs_original'!B16+0-'WD40_Inputs_original'!B15+0)/'WD40_Inputs_original'!B17+0)*('WD40_Inputs_original'!B17+0-3)))</f>
        <v>0.17106811723939558</v>
      </c>
      <c r="F5" s="5">
        <f>IF(4&gt;'WD40_Inputs_original'!B17+0,'WD40_Inputs_original'!B16+0,'WD40_Inputs_original'!B16+0-((('WD40_Inputs_original'!B16+0-'WD40_Inputs_original'!B15+0)/'WD40_Inputs_original'!B17+0)*('WD40_Inputs_original'!B17+0-4)))</f>
        <v>0.17106811723939558</v>
      </c>
      <c r="G5" s="5">
        <f>IF(5&gt;'WD40_Inputs_original'!B17+0,'WD40_Inputs_original'!B16+0,'WD40_Inputs_original'!B16+0-((('WD40_Inputs_original'!B16+0-'WD40_Inputs_original'!B15+0)/'WD40_Inputs_original'!B17+0)*('WD40_Inputs_original'!B17+0-5)))</f>
        <v>0.17106811723939558</v>
      </c>
      <c r="H5" s="5">
        <f>IF(6&gt;'WD40_Inputs_original'!B17+0,'WD40_Inputs_original'!B16+0,'WD40_Inputs_original'!B16+0-((('WD40_Inputs_original'!B16+0-'WD40_Inputs_original'!B15+0)/'WD40_Inputs_original'!B17+0)*('WD40_Inputs_original'!B17+0-6)))</f>
        <v>0.17106811723939558</v>
      </c>
      <c r="I5" s="5">
        <f>IF(7&gt;'WD40_Inputs_original'!B17+0,'WD40_Inputs_original'!B16+0,'WD40_Inputs_original'!B16+0-((('WD40_Inputs_original'!B16+0-'WD40_Inputs_original'!B15+0)/'WD40_Inputs_original'!B17+0)*('WD40_Inputs_original'!B17+0-7)))</f>
        <v>0.17106811723939558</v>
      </c>
      <c r="J5" s="5">
        <f>IF(8&gt;'WD40_Inputs_original'!B17+0,'WD40_Inputs_original'!B16+0,'WD40_Inputs_original'!B16+0-((('WD40_Inputs_original'!B16+0-'WD40_Inputs_original'!B15+0)/'WD40_Inputs_original'!B17+0)*('WD40_Inputs_original'!B17+0-8)))</f>
        <v>0.17106811723939558</v>
      </c>
      <c r="K5" s="5">
        <f>IF(9&gt;'WD40_Inputs_original'!B17+0,'WD40_Inputs_original'!B16+0,'WD40_Inputs_original'!B16+0-((('WD40_Inputs_original'!B16+0-'WD40_Inputs_original'!B15+0)/'WD40_Inputs_original'!B17+0)*('WD40_Inputs_original'!B17+0-9)))</f>
        <v>0.17106811723939558</v>
      </c>
      <c r="L5" s="5">
        <f>IF(10&gt;'WD40_Inputs_original'!B17+0,'WD40_Inputs_original'!B16+0,'WD40_Inputs_original'!B16+0-((('WD40_Inputs_original'!B16+0-'WD40_Inputs_original'!B15+0)/'WD40_Inputs_original'!B17+0)*('WD40_Inputs_original'!B17+0-10)))</f>
        <v>0.17106811723939558</v>
      </c>
      <c r="M5" s="5">
        <f>L5</f>
        <v>0.17106811723939558</v>
      </c>
    </row>
    <row r="6" spans="1:13" ht="26.25" customHeight="1">
      <c r="A6" s="1" t="s">
        <v>174</v>
      </c>
      <c r="B6" s="4">
        <f>'WD40_Inputs_original'!B44+0</f>
        <v>106.05966666666667</v>
      </c>
      <c r="C6" s="4">
        <f>C5*C4</f>
        <v>111.36265000000002</v>
      </c>
      <c r="D6" s="4">
        <f>D5*D4</f>
        <v>116.93078250000002</v>
      </c>
      <c r="E6" s="4">
        <f>E5*E4</f>
        <v>122.77732162500004</v>
      </c>
      <c r="F6" s="4">
        <f>F5*F4</f>
        <v>128.91618770625004</v>
      </c>
      <c r="G6" s="4">
        <f>G5*G4</f>
        <v>135.36199709156256</v>
      </c>
      <c r="H6" s="4">
        <f>H5*H4</f>
        <v>141.45328696068285</v>
      </c>
      <c r="I6" s="4">
        <f>I5*I4</f>
        <v>147.11141843911017</v>
      </c>
      <c r="J6" s="4">
        <f>J5*J4</f>
        <v>152.26031808447902</v>
      </c>
      <c r="K6" s="4">
        <f>K5*K4</f>
        <v>156.8281276270134</v>
      </c>
      <c r="L6" s="4">
        <f>L5*L4</f>
        <v>160.7488308176887</v>
      </c>
      <c r="M6" s="4">
        <f>L5*M4</f>
        <v>164.7675515881309</v>
      </c>
    </row>
    <row r="7" spans="1:13" ht="26.25" customHeight="1">
      <c r="A7" s="1" t="s">
        <v>175</v>
      </c>
      <c r="B7" s="5">
        <f>'WD40_Inputs_original'!B11+0</f>
        <v>0.22200027552004406</v>
      </c>
      <c r="C7" s="5">
        <f>'WD40_Inputs_original'!B11+0</f>
        <v>0.22200027552004406</v>
      </c>
      <c r="D7" s="5">
        <f>'WD40_Inputs_original'!B11+0</f>
        <v>0.22200027552004406</v>
      </c>
      <c r="E7" s="5">
        <f>'WD40_Inputs_original'!B11+0</f>
        <v>0.22200027552004406</v>
      </c>
      <c r="F7" s="5">
        <f>'WD40_Inputs_original'!B11+0</f>
        <v>0.22200027552004406</v>
      </c>
      <c r="G7" s="5">
        <f>'WD40_Inputs_original'!B11+0</f>
        <v>0.22200027552004406</v>
      </c>
      <c r="H7" s="5">
        <f>G7+(('WD40_Inputs_original'!B46+0-'WD40_Inputs_original'!B11+0)/5)</f>
        <v>0.22760022041603525</v>
      </c>
      <c r="I7" s="5">
        <f>H7+(('WD40_Inputs_original'!B46+0-'WD40_Inputs_original'!B11+0)/5)</f>
        <v>0.23320016531202645</v>
      </c>
      <c r="J7" s="5">
        <f>I7+(('WD40_Inputs_original'!B46+0-'WD40_Inputs_original'!B11+0)/5)</f>
        <v>0.23880011020801764</v>
      </c>
      <c r="K7" s="5">
        <f>J7+(('WD40_Inputs_original'!B46+0-'WD40_Inputs_original'!B11+0)/5)</f>
        <v>0.24440005510400883</v>
      </c>
      <c r="L7" s="5">
        <f>K7+(('WD40_Inputs_original'!B46+0-'WD40_Inputs_original'!B11+0)/5)</f>
        <v>0.25</v>
      </c>
      <c r="M7" s="5">
        <f>'WD40_Inputs_original'!B46+0</f>
        <v>0.25</v>
      </c>
    </row>
    <row r="8" spans="1:13" ht="26.25" customHeight="1">
      <c r="A8" s="1" t="s">
        <v>176</v>
      </c>
      <c r="C8" s="4">
        <f>B12</f>
        <v>0.0</v>
      </c>
      <c r="D8" s="4">
        <f>C12</f>
        <v>0</v>
      </c>
      <c r="E8" s="4">
        <f>D12</f>
        <v>0</v>
      </c>
      <c r="F8" s="4">
        <f>E12</f>
        <v>0</v>
      </c>
      <c r="G8" s="4">
        <f>F12</f>
        <v>0</v>
      </c>
      <c r="H8" s="4">
        <f>G12</f>
        <v>0</v>
      </c>
      <c r="I8" s="4">
        <f>H12</f>
        <v>0</v>
      </c>
      <c r="J8" s="4">
        <f>I12</f>
        <v>0</v>
      </c>
      <c r="K8" s="4">
        <f>J12</f>
        <v>0</v>
      </c>
      <c r="L8" s="4">
        <f>K12</f>
        <v>0</v>
      </c>
      <c r="M8" s="4">
        <f>L12</f>
        <v>0</v>
      </c>
    </row>
    <row r="9" spans="1:13" ht="26.25" customHeight="1">
      <c r="A9" s="1" t="s">
        <v>177</v>
      </c>
      <c r="B9" s="4">
        <f>IF(B6&gt;0,(B6*(1-B7)),B6)</f>
        <v>82.51439144510263</v>
      </c>
      <c r="C9" s="4">
        <f>IF(C6&gt;0,IF(C6&lt;B12,C6,C6-((C6-B12)*C7)),C6)</f>
        <v>86.64011101735778</v>
      </c>
      <c r="D9" s="4">
        <f>IF(D6&gt;0,IF(D6&lt;C12,D6,D6-((D6-C12)*D7)),D6)</f>
        <v>90.97211656822567</v>
      </c>
      <c r="E9" s="4">
        <f>IF(E6&gt;0,IF(E6&lt;D12,E6,E6-((E6-D12)*E7)),E6)</f>
        <v>95.52072239663697</v>
      </c>
      <c r="F9" s="4">
        <f>IF(F6&gt;0,IF(F6&lt;E12,F6,F6-((F6-E12)*F7)),F6)</f>
        <v>100.29675851646881</v>
      </c>
      <c r="G9" s="4">
        <f>IF(G6&gt;0,IF(G6&lt;F12,G6,G6-((G6-F12)*G7)),G6)</f>
        <v>105.31159644229227</v>
      </c>
      <c r="H9" s="4">
        <f>IF(H6&gt;0,IF(H6&lt;G12,H6,H6-((H6-G12)*H7)),H6)</f>
        <v>109.25848766985874</v>
      </c>
      <c r="I9" s="4">
        <f>IF(I6&gt;0,IF(I6&lt;H12,I6,I6-((I6-H12)*I7)),I6)</f>
        <v>112.80501133982298</v>
      </c>
      <c r="J9" s="4">
        <f>IF(J6&gt;0,IF(J6&lt;I12,J6,J6-((J6-I12)*J7)),J6)</f>
        <v>115.90053734559761</v>
      </c>
      <c r="K9" s="4">
        <f>IF(K6&gt;0,IF(K6&lt;J12,K6,K6-((K6-J12)*K7)),K6)</f>
        <v>118.49932459311279</v>
      </c>
      <c r="L9" s="4">
        <f>IF(L6&gt;0,IF(L6&lt;K12,L6,L6-((L6-K12)*L7)),L6)</f>
        <v>120.56162311326653</v>
      </c>
      <c r="M9" s="4">
        <f>M6*(1-M7)</f>
        <v>123.57566369109819</v>
      </c>
    </row>
    <row r="10" spans="1:13" ht="26.25" customHeight="1">
      <c r="A10" s="1" t="s">
        <v>178</v>
      </c>
      <c r="C10" s="4">
        <f>IF('WD40_Inputs_original'!B30+0=1,IF('WD40_Inputs_original'!B31+0=0,((C4-B4)/C20),IF('WD40_Inputs_original'!B31+0=2,((E4-D4)/C20),IF('WD40_Inputs_original'!B31+0=3,((F4-E4)/C20),((D4-C4)/C20)))),((D4-C4)/C20))</f>
        <v>16.274606250000033</v>
      </c>
      <c r="D10" s="4">
        <f>IF('WD40_Inputs_original'!B30+0=1,IF('WD40_Inputs_original'!B31+0=0,((D4-C4)/D20),IF('WD40_Inputs_original'!B31+0=2,((F4-E4)/D20),IF('WD40_Inputs_original'!B31+0=3,((G4-F4)/D20),((E4-D4)/D20)))),((E4-D4)/D20))</f>
        <v>17.088336562500047</v>
      </c>
      <c r="E10" s="4">
        <f>IF('WD40_Inputs_original'!B30+0=1,IF('WD40_Inputs_original'!B31+0=0,((E4-D4)/E20),IF('WD40_Inputs_original'!B31+0=2,((G4-F4)/E20),IF('WD40_Inputs_original'!B31+0=3,((H4-G4)/E20),((F4-E4)/E20)))),((F4-E4)/E20))</f>
        <v>17.942753390625</v>
      </c>
      <c r="F10" s="4">
        <f>IF('WD40_Inputs_original'!B30+0=1,IF('WD40_Inputs_original'!B31+0=0,((F4-E4)/F20),IF('WD40_Inputs_original'!B31+0=2,((H4-G4)/F20),IF('WD40_Inputs_original'!B31+0=3,((I4-H4)/F20),((G4-F4)/F20)))),((G4-F4)/F20))</f>
        <v>18.839891060156276</v>
      </c>
      <c r="G10" s="4">
        <f>IF('WD40_Inputs_original'!B30+0=1,IF('WD40_Inputs_original'!B31+0=0,((G4-F4)/G20),IF('WD40_Inputs_original'!B31+0=2,((I4-H4)/G20),IF('WD40_Inputs_original'!B31+0=3,((J4-I4)/G20),((H4-G4)/G20)))),((H4-G4)/G20))</f>
        <v>17.80369705184762</v>
      </c>
      <c r="H10" s="4">
        <f>IF('WD40_Inputs_original'!B30+0=1,IF('WD40_Inputs_original'!B31+0=0,((H4-G4)/H20),IF('WD40_Inputs_original'!B31+0=2,((J4-I4)/H20),IF('WD40_Inputs_original'!B31+0=3,((K4-J4)/H20),((I4-H4)/H20)))),((I4-H4)/H20))</f>
        <v>16.53765637260517</v>
      </c>
      <c r="I10" s="4">
        <f>IF('WD40_Inputs_original'!B30+0=1,IF('WD40_Inputs_original'!B31+0=0,((I4-H4)/I20),IF('WD40_Inputs_original'!B31+0=2,((K4-J4)/I20),IF('WD40_Inputs_original'!B31+0=3,((L4-K4)/I20),((J4-I4)/I20)))),((J4-I4)/I20))</f>
        <v>15.049267299070664</v>
      </c>
      <c r="J10" s="4">
        <f>IF('WD40_Inputs_original'!B30+0=1,IF('WD40_Inputs_original'!B31+0=0,((J4-I4)/J20),IF('WD40_Inputs_original'!B31+0=2,((L4-K4)/J20),IF('WD40_Inputs_original'!B31+0=3,((M4-L4)/J20),((K4-J4)/J20)))),((K4-J4)/J20))</f>
        <v>13.350849989604171</v>
      </c>
      <c r="K10" s="4">
        <f>IF('WD40_Inputs_original'!B30+0=1,IF('WD40_Inputs_original'!B31+0=0,((K4-J4)/K20),IF('WD40_Inputs_original'!B31+0=2,((M4-L4)/K20),IF('WD40_Inputs_original'!B31+0=3,((M4*M3)/K20),((L4-K4)/K20)))),((L4-K4)/K20))</f>
        <v>11.459479574410182</v>
      </c>
      <c r="L10" s="4">
        <f>IF('WD40_Inputs_original'!B30+0=1,IF('WD40_Inputs_original'!B31+0=0,((L4-K4)/L20),IF('WD40_Inputs_original'!B31+0=2,((M4*M3)/L20),IF('WD40_Inputs_original'!B31+0=3,((K10*(1+M3)*L20)/L20),((M4-L4)/L20)))),((M4-L4)/L20))</f>
        <v>11.745966563770423</v>
      </c>
      <c r="M10" s="4">
        <f>B30*M9</f>
        <v>38.61739490346819</v>
      </c>
    </row>
    <row r="11" spans="1:13" ht="26.25" customHeight="1">
      <c r="A11" s="1" t="s">
        <v>179</v>
      </c>
      <c r="C11" s="4">
        <f>C9-C10</f>
        <v>70.36550476735775</v>
      </c>
      <c r="D11" s="4">
        <f>D9-D10</f>
        <v>73.88378000572563</v>
      </c>
      <c r="E11" s="4">
        <f>E9-E10</f>
        <v>77.57796900601197</v>
      </c>
      <c r="F11" s="4">
        <f>F9-F10</f>
        <v>81.45686745631254</v>
      </c>
      <c r="G11" s="4">
        <f>G9-G10</f>
        <v>87.50789939044465</v>
      </c>
      <c r="H11" s="4">
        <f>H9-H10</f>
        <v>92.72083129725357</v>
      </c>
      <c r="I11" s="4">
        <f>I9-I10</f>
        <v>97.75574404075232</v>
      </c>
      <c r="J11" s="4">
        <f>J9-J10</f>
        <v>102.54968735599344</v>
      </c>
      <c r="K11" s="4">
        <f>K9-K10</f>
        <v>107.03984501870261</v>
      </c>
      <c r="L11" s="4">
        <f>L9-L10</f>
        <v>108.81565654949611</v>
      </c>
      <c r="M11" s="4">
        <f>M9-M10</f>
        <v>84.95826878763</v>
      </c>
    </row>
    <row r="12" spans="1:13" ht="26.25" customHeight="1">
      <c r="A12" s="1" t="s">
        <v>180</v>
      </c>
      <c r="B12" s="4">
        <f>'WD40_Inputs_original'!B28+0</f>
        <v>0.0</v>
      </c>
      <c r="C12" s="4">
        <f>IF(C6&lt;0,(B12-C6),IF(B12&gt;C6,(B12-C6),0))</f>
        <v>0</v>
      </c>
      <c r="D12" s="4">
        <f>IF(D6&lt;0,(C12-D6),IF(C12&gt;D6,(C12-D6),0))</f>
        <v>0</v>
      </c>
      <c r="E12" s="4">
        <f>IF(E6&lt;0,(D12-E6),IF(D12&gt;E6,(D12-E6),0))</f>
        <v>0</v>
      </c>
      <c r="F12" s="4">
        <f>IF(F6&lt;0,(E12-F6),IF(E12&gt;F6,(E12-F6),0))</f>
        <v>0</v>
      </c>
      <c r="G12" s="4">
        <f>IF(G6&lt;0,(F12-G6),IF(F12&gt;G6,(F12-G6),0))</f>
        <v>0</v>
      </c>
      <c r="H12" s="4">
        <f>IF(H6&lt;0,(G12-H6),IF(G12&gt;H6,(G12-H6),0))</f>
        <v>0</v>
      </c>
      <c r="I12" s="4">
        <f>IF(I6&lt;0,(H12-I6),IF(H12&gt;I6,(H12-I6),0))</f>
        <v>0</v>
      </c>
      <c r="J12" s="4">
        <f>IF(J6&lt;0,(I12-J6),IF(I12&gt;J6,(I12-J6),0))</f>
        <v>0</v>
      </c>
      <c r="K12" s="4">
        <f>IF(K6&lt;0,(J12-K6),IF(J12&gt;K6,(J12-K6),0))</f>
        <v>0</v>
      </c>
      <c r="L12" s="4">
        <f>IF(L6&lt;0,(K12-L6),IF(K12&gt;L6,(K12-L6),0))</f>
        <v>0</v>
      </c>
      <c r="M12" s="4">
        <f>IF(M6&lt;0,(L12-M6),IF(L12&gt;M6,(L12-M6),0))</f>
        <v>0</v>
      </c>
    </row>
    <row r="13" spans="1:13" ht="26.25" customHeight="1">
      <c r="A13" s="1" t="s">
        <v>181</v>
      </c>
      <c r="C13" s="5">
        <f>'WD40_Inputs_original'!B20+0</f>
        <v>0.09</v>
      </c>
      <c r="D13" s="5">
        <f>'WD40_Inputs_original'!B20+0</f>
        <v>0.09</v>
      </c>
      <c r="E13" s="5">
        <f>'WD40_Inputs_original'!B20+0</f>
        <v>0.09</v>
      </c>
      <c r="F13" s="5">
        <f>'WD40_Inputs_original'!B20+0</f>
        <v>0.09</v>
      </c>
      <c r="G13" s="5">
        <f>'WD40_Inputs_original'!B20+0</f>
        <v>0.09</v>
      </c>
      <c r="H13" s="5">
        <f>G13-(('WD40_Inputs_original'!B20+0-'WD40_Inputs_original'!B21+0)/5)</f>
        <v>0.088</v>
      </c>
      <c r="I13" s="5">
        <f>H13-(('WD40_Inputs_original'!B20+0-'WD40_Inputs_original'!B21+0)/5)</f>
        <v>0.086</v>
      </c>
      <c r="J13" s="5">
        <f>I13-(('WD40_Inputs_original'!B20+0-'WD40_Inputs_original'!B21+0)/5)</f>
        <v>0.08399999999999999</v>
      </c>
      <c r="K13" s="5">
        <f>J13-(('WD40_Inputs_original'!B20+0-'WD40_Inputs_original'!B21+0)/5)</f>
        <v>0.08199999999999999</v>
      </c>
      <c r="L13" s="5">
        <f>K13-(('WD40_Inputs_original'!B20+0-'WD40_Inputs_original'!B21+0)/5)</f>
        <v>0.07999999999999999</v>
      </c>
      <c r="M13" s="5">
        <f>'WD40_Inputs_original'!B21+0</f>
        <v>0.08</v>
      </c>
    </row>
    <row r="14" spans="1:13" ht="26.25" customHeight="1">
      <c r="A14" s="1" t="s">
        <v>182</v>
      </c>
      <c r="C14" s="4">
        <f>1*(1/(1+C13))</f>
        <v>0.9174311926605504</v>
      </c>
      <c r="D14" s="4">
        <f>C14*(1/(1+D13))</f>
        <v>0.84167999326656</v>
      </c>
      <c r="E14" s="4">
        <f>D14*(1/(1+E13))</f>
        <v>0.7721834800610641</v>
      </c>
      <c r="F14" s="4">
        <f>E14*(1/(1+F13))</f>
        <v>0.7084252110651964</v>
      </c>
      <c r="G14" s="4">
        <f>F14*(1/(1+G13))</f>
        <v>0.6499313862983452</v>
      </c>
      <c r="H14" s="4">
        <f>G14*(1/(1+H13))</f>
        <v>0.5973634065242144</v>
      </c>
      <c r="I14" s="4">
        <f>H14*(1/(1+I13))</f>
        <v>0.5500583853814128</v>
      </c>
      <c r="J14" s="4">
        <f>I14*(1/(1+J13))</f>
        <v>0.5074339348537018</v>
      </c>
      <c r="K14" s="4">
        <f>J14*(1/(1+K13))</f>
        <v>0.46897775864482605</v>
      </c>
      <c r="L14" s="4">
        <f>K14*(1/(1+L13))</f>
        <v>0.43423866541187595</v>
      </c>
    </row>
    <row r="15" spans="1:13" ht="26.25" customHeight="1">
      <c r="A15" s="1" t="s">
        <v>183</v>
      </c>
      <c r="C15" s="4">
        <f>C11*C14</f>
        <v>64.55550896087867</v>
      </c>
      <c r="D15" s="4">
        <f>D11*D14</f>
        <v>62.186499457727145</v>
      </c>
      <c r="E15" s="4">
        <f>E11*E14</f>
        <v>59.90442608313169</v>
      </c>
      <c r="F15" s="4">
        <f>F11*F14</f>
        <v>57.70609852044794</v>
      </c>
      <c r="G15" s="4">
        <f>G11*G14</f>
        <v>56.87413036288781</v>
      </c>
      <c r="H15" s="4">
        <f>H11*H14</f>
        <v>55.38803163948438</v>
      </c>
      <c r="I15" s="4">
        <f>I11*I14</f>
        <v>53.77136672881489</v>
      </c>
      <c r="J15" s="4">
        <f>J11*J14</f>
        <v>52.037191373068666</v>
      </c>
      <c r="K15" s="4">
        <f>K11*K14</f>
        <v>50.199306602560696</v>
      </c>
      <c r="L15" s="4">
        <f>L11*L14</f>
        <v>47.25196547597025</v>
      </c>
    </row>
    <row r="16" spans="1:13" ht="26.25" customHeight="1">
      <c r="A16" s="1" t="s">
        <v>184</v>
      </c>
      <c r="C16" s="4">
        <f>B17</f>
        <v>313.437</v>
      </c>
      <c r="D16" s="4">
        <f>C17</f>
        <v>329.71160625000005</v>
      </c>
      <c r="E16" s="4">
        <f>D17</f>
        <v>346.7999428125001</v>
      </c>
      <c r="F16" s="4">
        <f>E17</f>
        <v>364.7426962031251</v>
      </c>
      <c r="G16" s="4">
        <f>F17</f>
        <v>383.58258726328137</v>
      </c>
      <c r="H16" s="4">
        <f>G17</f>
        <v>401.386284315129</v>
      </c>
      <c r="I16" s="4">
        <f>H17</f>
        <v>417.92394068773416</v>
      </c>
      <c r="J16" s="4">
        <f>I17</f>
        <v>432.9732079868048</v>
      </c>
      <c r="K16" s="4">
        <f>J17</f>
        <v>446.324057976409</v>
      </c>
      <c r="L16" s="4">
        <f>K17</f>
        <v>457.7835375508192</v>
      </c>
    </row>
    <row r="17" spans="1:12" ht="26.25" customHeight="1">
      <c r="A17" s="1" t="s">
        <v>185</v>
      </c>
      <c r="B17" s="4">
        <f>'WD40_Inputs_original'!B45+0</f>
        <v>313.437</v>
      </c>
      <c r="C17" s="4">
        <f>B17+C10</f>
        <v>329.71160625000005</v>
      </c>
      <c r="D17" s="4">
        <f>C17+D10</f>
        <v>346.7999428125001</v>
      </c>
      <c r="E17" s="4">
        <f>D17+E10</f>
        <v>364.7426962031251</v>
      </c>
      <c r="F17" s="4">
        <f>E17+F10</f>
        <v>383.58258726328137</v>
      </c>
      <c r="G17" s="4">
        <f>F17+G10</f>
        <v>401.386284315129</v>
      </c>
      <c r="H17" s="4">
        <f>G17+H10</f>
        <v>417.92394068773416</v>
      </c>
      <c r="I17" s="4">
        <f>H17+I10</f>
        <v>432.9732079868048</v>
      </c>
      <c r="J17" s="4">
        <f>I17+J10</f>
        <v>446.324057976409</v>
      </c>
      <c r="K17" s="4">
        <f>J17+K10</f>
        <v>457.7835375508192</v>
      </c>
      <c r="L17" s="4">
        <f>K17+L10</f>
        <v>469.5295041145896</v>
      </c>
    </row>
    <row r="18" spans="1:12" ht="26.25" customHeight="1">
      <c r="A18" s="1" t="s">
        <v>186</v>
      </c>
      <c r="C18" s="4">
        <f>C9-(C13*B17)</f>
        <v>58.43078101735778</v>
      </c>
      <c r="D18" s="4">
        <f>D9-(D13*C17)</f>
        <v>61.29807200572567</v>
      </c>
      <c r="E18" s="4">
        <f>E9-(E13*D17)</f>
        <v>64.30872754351196</v>
      </c>
      <c r="F18" s="4">
        <f>F9-(F13*E17)</f>
        <v>67.46991585818756</v>
      </c>
      <c r="G18" s="4">
        <f>G9-(G13*F17)</f>
        <v>70.78916358859695</v>
      </c>
      <c r="H18" s="4">
        <f>H9-(H13*G17)</f>
        <v>73.93649465012739</v>
      </c>
      <c r="I18" s="4">
        <f>I9-(I13*H17)</f>
        <v>76.86355244067785</v>
      </c>
      <c r="J18" s="4">
        <f>J9-(J13*I17)</f>
        <v>79.53078787470602</v>
      </c>
      <c r="K18" s="4">
        <f>K9-(K13*J17)</f>
        <v>81.90075183904725</v>
      </c>
      <c r="L18" s="4">
        <f>L9-(L13*K17)</f>
        <v>83.93894010920101</v>
      </c>
    </row>
    <row r="19" spans="1:12" ht="26.25" customHeight="1">
      <c r="A19" s="1" t="s">
        <v>187</v>
      </c>
      <c r="C19" s="4">
        <f>C18*C14</f>
        <v>53.60622111684199</v>
      </c>
      <c r="D19" s="4">
        <f>D18*D14</f>
        <v>51.59336083303229</v>
      </c>
      <c r="E19" s="4">
        <f>E18*E14</f>
        <v>49.658137032847876</v>
      </c>
      <c r="F19" s="4">
        <f>F18*F14</f>
        <v>47.797389382387564</v>
      </c>
      <c r="G19" s="4">
        <f>G18*G14</f>
        <v>46.00809922603716</v>
      </c>
      <c r="H19" s="4">
        <f>H18*H14</f>
        <v>44.16695631065945</v>
      </c>
      <c r="I19" s="4">
        <f>I18*I14</f>
        <v>42.27944155019881</v>
      </c>
      <c r="J19" s="4">
        <f>J18*J14</f>
        <v>40.35662063327715</v>
      </c>
      <c r="K19" s="4">
        <f>K18*K14</f>
        <v>38.409631028802494</v>
      </c>
      <c r="L19" s="4">
        <f>L18*L14</f>
        <v>36.449533329106835</v>
      </c>
    </row>
    <row r="20" spans="1:12" ht="26.25" customHeight="1">
      <c r="A20" s="1" t="s">
        <v>188</v>
      </c>
      <c r="C20" s="4">
        <f>'WD40_Inputs_original'!B18+0</f>
        <v>2</v>
      </c>
      <c r="D20" s="4">
        <f>'WD40_Inputs_original'!B18+0</f>
        <v>2</v>
      </c>
      <c r="E20" s="4">
        <f>'WD40_Inputs_original'!B18+0</f>
        <v>2</v>
      </c>
      <c r="F20" s="4">
        <f>'WD40_Inputs_original'!B18+0</f>
        <v>2</v>
      </c>
      <c r="G20" s="4">
        <f>'WD40_Inputs_original'!B18+0</f>
        <v>2</v>
      </c>
      <c r="H20" s="4">
        <f>'WD40_Inputs_original'!B19+0</f>
        <v>2</v>
      </c>
      <c r="I20" s="4">
        <f>'WD40_Inputs_original'!B19+0</f>
        <v>2</v>
      </c>
      <c r="J20" s="4">
        <f>'WD40_Inputs_original'!B19+0</f>
        <v>2</v>
      </c>
      <c r="K20" s="4">
        <f>'WD40_Inputs_original'!B19+0</f>
        <v>2</v>
      </c>
      <c r="L20" s="4">
        <f>'WD40_Inputs_original'!B19+0</f>
        <v>2</v>
      </c>
    </row>
    <row r="21" spans="1:12" ht="26.25" customHeight="1">
      <c r="A21" s="1" t="s">
        <v>189</v>
      </c>
      <c r="B21" s="4">
        <f>M11/(M13-M3)</f>
        <v>1544.6957961387272</v>
      </c>
    </row>
    <row r="22" spans="1:12" ht="26.25" customHeight="1">
      <c r="A22" s="1" t="s">
        <v>16</v>
      </c>
      <c r="B22" s="4">
        <f>B21*L14</f>
        <v>670.7666409826161</v>
      </c>
    </row>
    <row r="23" spans="1:12" ht="26.25" customHeight="1">
      <c r="A23" s="1" t="s">
        <v>190</v>
      </c>
      <c r="B23" s="4">
        <f>SUM(C15:L15)</f>
        <v>559.8745252049721</v>
      </c>
    </row>
    <row r="24" spans="1:12" ht="26.25" customHeight="1">
      <c r="A24" s="1" t="s">
        <v>191</v>
      </c>
      <c r="B24" s="4">
        <f>B22+B23</f>
        <v>1230.6411661875882</v>
      </c>
    </row>
    <row r="25" spans="1:12" ht="26.25" customHeight="1">
      <c r="A25" s="1" t="s">
        <v>192</v>
      </c>
      <c r="B25" s="4">
        <f>IF('WD40_Inputs_original'!B34+0=1,(('WD40_Inputs_original'!B4+0+'WD40_Inputs_original'!B5+0)*'WD40_Inputs_original'!B33+0),(B24*'WD40_Inputs_original'!B33+0))</f>
        <v>615.3205830937941</v>
      </c>
    </row>
    <row r="26" spans="1:12" ht="26.25" customHeight="1">
      <c r="A26" s="1" t="s">
        <v>14</v>
      </c>
      <c r="B26" s="3">
        <f>(B24*(1-'WD40_Inputs_original'!B32+0))+(B25*'WD40_Inputs_original'!B32+0)</f>
        <v>1230.6411661875882</v>
      </c>
    </row>
    <row r="27" spans="1:12" ht="26.25" customHeight="1">
      <c r="A27" s="1" t="s">
        <v>15</v>
      </c>
      <c r="B27" s="3">
        <f>B26-'WD40_Inputs_original'!B5+0-'WD40_Inputs_original'!B8+0+'WD40_Inputs_original'!B48+0+'WD40_Inputs_original'!B7+0</f>
        <v>1201.7761661875884</v>
      </c>
    </row>
    <row r="28" spans="1:12" ht="26.25" customHeight="1">
      <c r="A28" s="1" t="s">
        <v>193</v>
      </c>
      <c r="B28" s="3">
        <f>IF('WD40_Inputs_original'!B21+0&gt;'WD40_Inputs_original'!B22+0,IF('WD40_Inputs_original'!B20+0&gt;0,IF('WD40_Inputs_original'!B9+0&gt;0,IF('WD40_Inputs_original'!B18+0&gt;0,IF('WD40_Inputs_original'!B19+0&gt;0,IF(IF('WD40_Inputs_original'!B23+0=1,IF('WD40_Inputs_original'!B24+0&gt;0,1,0),1)=1,IF(IF('WD40_Inputs_original'!B23+0=1,IF('WD40_Inputs_original'!B24+0&gt;='WD40_Inputs_original'!B22+0,1,0),1)=1,B27/'WD40_Inputs_original'!B9+0,"Blocked: terminal reinvestment exceeds NOPAT"),"Blocked: active terminal ROIC must be positive"),"Blocked: years 6-10 sales to capital must be positive"),"Blocked: years 1-5 sales to capital must be positive"),"Blocked: shares must be positive"),"Blocked: starting WACC must be positive"),"Blocked: terminal WACC must exceed growth")</f>
        <v>88.15029580134913</v>
      </c>
    </row>
    <row r="29" spans="1:12" ht="26.25" customHeight="1">
      <c r="A29" s="1" t="s">
        <v>17</v>
      </c>
      <c r="B29" s="5">
        <f>B22/B24</f>
        <v>0.5450546100782478</v>
      </c>
    </row>
    <row r="30" spans="1:12" ht="26.25" customHeight="1">
      <c r="A30" s="1" t="s">
        <v>194</v>
      </c>
      <c r="B30" s="5">
        <f>IF(M3&gt;0,(M3/IF('WD40_Inputs_original'!B23+0=1,'WD40_Inputs_original'!B24+0,L13)),0)</f>
        <v>0.31250000000000006</v>
      </c>
    </row>
    <row r="31" spans="1:12" ht="26.25" customHeight="1">
      <c r="A31" s="1" t="s">
        <v>195</v>
      </c>
      <c r="B31" s="4">
        <f>IF(M3&gt;0,((M9*(1-(M13/IF('WD40_Inputs_original'!B23+0=1,'WD40_Inputs_original'!B24+0,L13))))/(M13-M3)),(M9/(M13-M3)))</f>
        <v>-4.988965349570624e-13</v>
      </c>
    </row>
    <row r="32" spans="1:12" ht="26.25" customHeight="1">
      <c r="A32" s="1" t="s">
        <v>196</v>
      </c>
      <c r="B32" s="4">
        <f>IF(M3&gt;0,((M9/IF('WD40_Inputs_original'!B23+0=1,'WD40_Inputs_original'!B24+0,L13))-L17),(0-L17))</f>
        <v>1075.1662920241379</v>
      </c>
    </row>
    <row r="33" spans="1:2" ht="26.25" customHeight="1">
      <c r="A33" s="1" t="s">
        <v>197</v>
      </c>
      <c r="B33" s="4">
        <f>B31+B32</f>
        <v>1075.1662920241374</v>
      </c>
    </row>
    <row r="34" spans="1:2" ht="26.25" customHeight="1">
      <c r="A34" s="1" t="s">
        <v>198</v>
      </c>
      <c r="B34" s="4">
        <f>B17+SUM(C19:L19)+(B33*L14)</f>
        <v>1230.6411661875884</v>
      </c>
    </row>
    <row r="35" spans="1:2" ht="26.25" customHeight="1">
      <c r="A35" s="1" t="s">
        <v>20</v>
      </c>
      <c r="B35" s="3">
        <f>B34-B24</f>
        <v>2.2737367544323206e-13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48"/>
  <sheetViews>
    <sheetView workbookViewId="0" showGridLines="0">
      <pane xSplit="1" ySplit="1" topLeftCell="B2" activePane="bottomRight" state="frozen"/>
      <selection pane="bottomRight" activeCell="B2" sqref="B2"/>
    </sheetView>
  </sheetViews>
  <sheetFormatPr defaultRowHeight="15"/>
  <cols>
    <col min="1" max="1" width="65.7109375" customWidth="1"/>
    <col min="2" max="2" width="30.7109375" customWidth="1"/>
  </cols>
  <sheetData>
    <row r="1" spans="1:2" ht="36" customHeight="1">
      <c r="A1" s="1" t="s">
        <v>200</v>
      </c>
      <c r="B1" s="2" t="s">
        <v>111</v>
      </c>
    </row>
    <row r="2" spans="1:2" ht="26.25" customHeight="1">
      <c r="A2" s="1" t="s">
        <v>112</v>
      </c>
      <c r="B2" s="6">
        <f>'WD40_Regions_bear'!E2+0</f>
        <v>619.985</v>
      </c>
    </row>
    <row r="3" spans="1:2" ht="26.25" customHeight="1">
      <c r="A3" s="1" t="s">
        <v>113</v>
      </c>
      <c r="B3" s="8">
        <v>103.793</v>
      </c>
    </row>
    <row r="4" spans="1:2" ht="26.25" customHeight="1">
      <c r="A4" s="1" t="s">
        <v>114</v>
      </c>
      <c r="B4" s="8">
        <v>268.472</v>
      </c>
    </row>
    <row r="5" spans="1:2" ht="26.25" customHeight="1">
      <c r="A5" s="1" t="s">
        <v>115</v>
      </c>
      <c r="B5" s="8">
        <v>86.995</v>
      </c>
    </row>
    <row r="6" spans="1:2" ht="26.25" customHeight="1">
      <c r="A6" s="1" t="s">
        <v>116</v>
      </c>
      <c r="B6" s="8">
        <v>58.13</v>
      </c>
    </row>
    <row r="7" spans="1:2" ht="26.25" customHeight="1">
      <c r="A7" s="1" t="s">
        <v>117</v>
      </c>
      <c r="B7" s="8">
        <v>0</v>
      </c>
    </row>
    <row r="8" spans="1:2" ht="26.25" customHeight="1">
      <c r="A8" s="1" t="s">
        <v>118</v>
      </c>
      <c r="B8" s="8">
        <v>0</v>
      </c>
    </row>
    <row r="9" spans="1:2" ht="26.25" customHeight="1">
      <c r="A9" s="1" t="s">
        <v>119</v>
      </c>
      <c r="B9" s="8">
        <v>13.633263</v>
      </c>
    </row>
    <row r="10" spans="1:2" ht="26.25" customHeight="1">
      <c r="A10" s="1" t="s">
        <v>120</v>
      </c>
      <c r="B10" s="8">
        <v>216.04</v>
      </c>
    </row>
    <row r="11" spans="1:2" ht="26.25" customHeight="1">
      <c r="A11" s="1" t="s">
        <v>121</v>
      </c>
      <c r="B11" s="9">
        <v>0.2220002755200441</v>
      </c>
    </row>
    <row r="12" spans="1:2" ht="26.25" customHeight="1">
      <c r="A12" s="1" t="s">
        <v>122</v>
      </c>
      <c r="B12" s="9">
        <v>0.25</v>
      </c>
    </row>
    <row r="13" spans="1:2" ht="26.25" customHeight="1">
      <c r="A13" s="1" t="s">
        <v>123</v>
      </c>
      <c r="B13" s="10">
        <f>'WD40_Regions_bear'!E47+0</f>
        <v>0.028936942022790957</v>
      </c>
    </row>
    <row r="14" spans="1:2" ht="26.25" customHeight="1">
      <c r="A14" s="1" t="s">
        <v>124</v>
      </c>
      <c r="B14" s="10">
        <f>'WD40_Regions_bear'!E48+0</f>
        <v>0.029813668081486666</v>
      </c>
    </row>
    <row r="15" spans="1:2" ht="26.25" customHeight="1">
      <c r="A15" s="1" t="s">
        <v>125</v>
      </c>
      <c r="B15" s="10">
        <f>B44/B2</f>
        <v>0.17106811723939558</v>
      </c>
    </row>
    <row r="16" spans="1:2" ht="26.25" customHeight="1">
      <c r="A16" s="1" t="s">
        <v>126</v>
      </c>
      <c r="B16" s="10">
        <f>B15+0</f>
        <v>0.17106811723939558</v>
      </c>
    </row>
    <row r="17" spans="1:2" ht="26.25" customHeight="1">
      <c r="A17" s="1" t="s">
        <v>127</v>
      </c>
      <c r="B17" s="11">
        <v>5</v>
      </c>
    </row>
    <row r="18" spans="1:2" ht="26.25" customHeight="1">
      <c r="A18" s="1" t="s">
        <v>128</v>
      </c>
      <c r="B18" s="8">
        <v>2</v>
      </c>
    </row>
    <row r="19" spans="1:2" ht="26.25" customHeight="1">
      <c r="A19" s="1" t="s">
        <v>129</v>
      </c>
      <c r="B19" s="6">
        <f>B18+0</f>
        <v>2</v>
      </c>
    </row>
    <row r="20" spans="1:2" ht="26.25" customHeight="1">
      <c r="A20" s="1" t="s">
        <v>130</v>
      </c>
      <c r="B20" s="9">
        <v>0.09</v>
      </c>
    </row>
    <row r="21" spans="1:2" ht="26.25" customHeight="1">
      <c r="A21" s="1" t="s">
        <v>131</v>
      </c>
      <c r="B21" s="9">
        <v>0.08</v>
      </c>
    </row>
    <row r="22" spans="1:2" ht="26.25" customHeight="1">
      <c r="A22" s="1" t="s">
        <v>64</v>
      </c>
      <c r="B22" s="9">
        <v>0.025</v>
      </c>
    </row>
    <row r="23" spans="1:2" ht="26.25" customHeight="1">
      <c r="A23" s="1" t="s">
        <v>132</v>
      </c>
      <c r="B23" s="11">
        <v>0</v>
      </c>
    </row>
    <row r="24" spans="1:2" ht="26.25" customHeight="1">
      <c r="A24" s="1" t="s">
        <v>133</v>
      </c>
      <c r="B24" s="9">
        <v>0.15</v>
      </c>
    </row>
    <row r="25" spans="1:2" ht="26.25" customHeight="1">
      <c r="A25" s="1" t="s">
        <v>134</v>
      </c>
      <c r="B25" s="8">
        <v>8.699999999999999</v>
      </c>
    </row>
    <row r="26" spans="1:2" ht="26.25" customHeight="1">
      <c r="A26" s="1" t="s">
        <v>135</v>
      </c>
      <c r="B26" s="11">
        <v>3</v>
      </c>
    </row>
    <row r="27" spans="1:2" ht="26.25" customHeight="1">
      <c r="A27" s="1" t="s">
        <v>136</v>
      </c>
      <c r="B27" s="11">
        <v>1</v>
      </c>
    </row>
    <row r="28" spans="1:2" ht="26.25" customHeight="1">
      <c r="A28" s="1" t="s">
        <v>137</v>
      </c>
      <c r="B28" s="8">
        <v>0</v>
      </c>
    </row>
    <row r="29" spans="1:2" ht="26.25" customHeight="1">
      <c r="A29" s="1" t="s">
        <v>138</v>
      </c>
      <c r="B29" s="11">
        <v>0</v>
      </c>
    </row>
    <row r="30" spans="1:2" ht="26.25" customHeight="1">
      <c r="A30" s="1" t="s">
        <v>139</v>
      </c>
      <c r="B30" s="11">
        <v>0</v>
      </c>
    </row>
    <row r="31" spans="1:2" ht="26.25" customHeight="1">
      <c r="A31" s="1" t="s">
        <v>140</v>
      </c>
      <c r="B31" s="11">
        <v>1</v>
      </c>
    </row>
    <row r="32" spans="1:2" ht="26.25" customHeight="1">
      <c r="A32" s="1" t="s">
        <v>141</v>
      </c>
      <c r="B32" s="9">
        <v>0</v>
      </c>
    </row>
    <row r="33" spans="1:2" ht="26.25" customHeight="1">
      <c r="A33" s="1" t="s">
        <v>142</v>
      </c>
      <c r="B33" s="9">
        <v>0.5</v>
      </c>
    </row>
    <row r="34" spans="1:2" ht="26.25" customHeight="1">
      <c r="A34" s="1" t="s">
        <v>143</v>
      </c>
      <c r="B34" s="11">
        <v>0</v>
      </c>
    </row>
    <row r="35" spans="1:2" ht="26.25" customHeight="1">
      <c r="A35" s="1" t="s">
        <v>144</v>
      </c>
      <c r="B35" s="8">
        <v>0</v>
      </c>
    </row>
    <row r="36" spans="1:2" ht="26.25" customHeight="1">
      <c r="A36" s="1" t="s">
        <v>145</v>
      </c>
      <c r="B36" s="9">
        <v>0</v>
      </c>
    </row>
    <row r="37" spans="1:2" ht="26.25" customHeight="1">
      <c r="A37" s="1" t="s">
        <v>146</v>
      </c>
      <c r="B37" s="11">
        <v>0</v>
      </c>
    </row>
    <row r="38" spans="1:2" ht="26.25" customHeight="1">
      <c r="A38" s="1" t="s">
        <v>147</v>
      </c>
      <c r="B38" s="8">
        <v>8</v>
      </c>
    </row>
    <row r="39" spans="1:2" ht="26.25" customHeight="1">
      <c r="A39" s="1" t="s">
        <v>148</v>
      </c>
      <c r="B39" s="8">
        <v>6.2</v>
      </c>
    </row>
    <row r="40" spans="1:2" ht="26.25" customHeight="1">
      <c r="A40" s="1" t="s">
        <v>149</v>
      </c>
      <c r="B40" s="8">
        <v>5.1</v>
      </c>
    </row>
    <row r="41" spans="1:2" ht="26.25" customHeight="1">
      <c r="A41" s="1" t="s">
        <v>150</v>
      </c>
      <c r="B41" s="8">
        <v>5.6</v>
      </c>
    </row>
    <row r="42" spans="1:2" ht="26.25" customHeight="1">
      <c r="A42" s="1" t="s">
        <v>151</v>
      </c>
      <c r="B42" s="6">
        <f>0+IF(1&lt;=B26,(B38/B26),0)+IF(2&lt;=B26,(B39/B26),0)+IF(3&lt;=B26,(B40/B26),0)+IF(4&lt;=B26,(B41/B26),0)</f>
        <v>6.433333333333334</v>
      </c>
    </row>
    <row r="43" spans="1:2" ht="26.25" customHeight="1">
      <c r="A43" s="1" t="s">
        <v>152</v>
      </c>
      <c r="B43" s="6">
        <f>B25+IF(1&lt;B26,(B38*((B26-1)/B26)),0)+IF(2&lt;B26,(B39*((B26-2)/B26)),0)+IF(3&lt;B26,(B40*((B26-3)/B26)),0)+IF(4&lt;B26,(B41*((B26-4)/B26)),0)</f>
        <v>16.099999999999998</v>
      </c>
    </row>
    <row r="44" spans="1:2" ht="26.25" customHeight="1">
      <c r="A44" s="1" t="s">
        <v>153</v>
      </c>
      <c r="B44" s="6">
        <f>B3+IF(B27=1,(B25-B42),0)</f>
        <v>106.05966666666667</v>
      </c>
    </row>
    <row r="45" spans="1:2" ht="26.25" customHeight="1">
      <c r="A45" s="1" t="s">
        <v>154</v>
      </c>
      <c r="B45" s="6">
        <f>B4+B5-B6+IF(B27=1,B43,0)</f>
        <v>313.437</v>
      </c>
    </row>
    <row r="46" spans="1:2" ht="26.25" customHeight="1">
      <c r="A46" s="1" t="s">
        <v>155</v>
      </c>
      <c r="B46" s="10">
        <f>IF(B29=1,B11,B12)</f>
        <v>0.25</v>
      </c>
    </row>
    <row r="47" spans="1:2" ht="26.25" customHeight="1">
      <c r="A47" s="1" t="s">
        <v>156</v>
      </c>
      <c r="B47" s="10">
        <f>IF(B23=1,B24,B21)</f>
        <v>0.08</v>
      </c>
    </row>
    <row r="48" spans="1:2" ht="26.25" customHeight="1">
      <c r="A48" s="1" t="s">
        <v>157</v>
      </c>
      <c r="B48" s="6">
        <f>B6-IF(B37=1,(B35*(B12-B36)),0)</f>
        <v>58.13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M35"/>
  <sheetViews>
    <sheetView workbookViewId="0" showGridLines="0">
      <pane xSplit="1" ySplit="1" topLeftCell="B2" activePane="bottomRight" state="frozen"/>
      <selection pane="bottomRight" activeCell="B2" sqref="B2"/>
    </sheetView>
  </sheetViews>
  <sheetFormatPr defaultRowHeight="15"/>
  <cols>
    <col min="1" max="1" width="58.7109375" customWidth="1"/>
    <col min="2" max="13" width="22.7109375" customWidth="1"/>
  </cols>
  <sheetData>
    <row r="1" spans="1:13" ht="36" customHeight="1">
      <c r="A1" s="1" t="s">
        <v>201</v>
      </c>
      <c r="B1" s="2" t="s">
        <v>11</v>
      </c>
      <c r="C1" s="2" t="s">
        <v>159</v>
      </c>
      <c r="D1" s="2" t="s">
        <v>160</v>
      </c>
      <c r="E1" s="2" t="s">
        <v>161</v>
      </c>
      <c r="F1" s="2" t="s">
        <v>162</v>
      </c>
      <c r="G1" s="2" t="s">
        <v>163</v>
      </c>
      <c r="H1" s="2" t="s">
        <v>164</v>
      </c>
      <c r="I1" s="2" t="s">
        <v>165</v>
      </c>
      <c r="J1" s="2" t="s">
        <v>166</v>
      </c>
      <c r="K1" s="2" t="s">
        <v>167</v>
      </c>
      <c r="L1" s="2" t="s">
        <v>168</v>
      </c>
      <c r="M1" s="2" t="s">
        <v>169</v>
      </c>
    </row>
    <row r="2" spans="1:13" ht="26.25" customHeight="1">
      <c r="A2" s="1" t="s">
        <v>170</v>
      </c>
      <c r="B2" s="12">
        <v>0</v>
      </c>
      <c r="C2" s="12">
        <v>1</v>
      </c>
      <c r="D2" s="12">
        <v>2</v>
      </c>
      <c r="E2" s="12">
        <v>3</v>
      </c>
      <c r="F2" s="12">
        <v>4</v>
      </c>
      <c r="G2" s="12">
        <v>5</v>
      </c>
      <c r="H2" s="12">
        <v>6</v>
      </c>
      <c r="I2" s="12">
        <v>7</v>
      </c>
      <c r="J2" s="12">
        <v>8</v>
      </c>
      <c r="K2" s="12">
        <v>9</v>
      </c>
      <c r="L2" s="12">
        <v>10</v>
      </c>
      <c r="M2" s="12">
        <v>11</v>
      </c>
    </row>
    <row r="3" spans="1:13" ht="26.25" customHeight="1">
      <c r="A3" s="1" t="s">
        <v>171</v>
      </c>
      <c r="C3" s="5">
        <f>'WD40_Inputs_bear'!B13+0</f>
        <v>0.028936942022790957</v>
      </c>
      <c r="D3" s="5">
        <f>'WD40_Inputs_bear'!B14+0</f>
        <v>0.029813668081486666</v>
      </c>
      <c r="E3" s="5">
        <f>'WD40_Inputs_bear'!B14+0</f>
        <v>0.029813668081486666</v>
      </c>
      <c r="F3" s="5">
        <f>'WD40_Inputs_bear'!B14+0</f>
        <v>0.029813668081486666</v>
      </c>
      <c r="G3" s="5">
        <f>'WD40_Inputs_bear'!B14+0</f>
        <v>0.029813668081486666</v>
      </c>
      <c r="H3" s="5">
        <f>'WD40_Inputs_bear'!B14+0-((('WD40_Inputs_bear'!B14+0-'WD40_Inputs_bear'!B22+0)/5)*1)</f>
        <v>0.028850934465189333</v>
      </c>
      <c r="I3" s="5">
        <f>'WD40_Inputs_bear'!B14+0-((('WD40_Inputs_bear'!B14+0-'WD40_Inputs_bear'!B22+0)/5)*2)</f>
        <v>0.027888200848892</v>
      </c>
      <c r="J3" s="5">
        <f>'WD40_Inputs_bear'!B14+0-((('WD40_Inputs_bear'!B14+0-'WD40_Inputs_bear'!B22+0)/5)*3)</f>
        <v>0.026925467232594667</v>
      </c>
      <c r="K3" s="5">
        <f>'WD40_Inputs_bear'!B14+0-((('WD40_Inputs_bear'!B14+0-'WD40_Inputs_bear'!B22+0)/5)*4)</f>
        <v>0.025962733616297334</v>
      </c>
      <c r="L3" s="5">
        <f>'WD40_Inputs_bear'!B14+0-((('WD40_Inputs_bear'!B14+0-'WD40_Inputs_bear'!B22+0)/5)*5)</f>
        <v>0.025</v>
      </c>
      <c r="M3" s="5">
        <f>'WD40_Inputs_bear'!B22+0</f>
        <v>0.025</v>
      </c>
    </row>
    <row r="4" spans="1:13" ht="26.25" customHeight="1">
      <c r="A4" s="1" t="s">
        <v>172</v>
      </c>
      <c r="B4" s="4">
        <f>'WD40_Inputs_bear'!B2+0</f>
        <v>619.985</v>
      </c>
      <c r="C4" s="4">
        <f>B4*(1+C3)</f>
        <v>637.92547</v>
      </c>
      <c r="D4" s="4">
        <f>C4*(1+D3)</f>
        <v>656.9443682233064</v>
      </c>
      <c r="E4" s="4">
        <f>D4*(1+E3)</f>
        <v>676.5302895655179</v>
      </c>
      <c r="F4" s="4">
        <f>E4*(1+F3)</f>
        <v>696.7001390656964</v>
      </c>
      <c r="G4" s="4">
        <f>F4*(1+G3)</f>
        <v>717.4713257641266</v>
      </c>
      <c r="H4" s="4">
        <f>G4*(1+H3)</f>
        <v>738.1710439643999</v>
      </c>
      <c r="I4" s="4">
        <f>H4*(1+I3)</f>
        <v>758.7573062993155</v>
      </c>
      <c r="J4" s="4">
        <f>I4*(1+J3)</f>
        <v>779.1872012875696</v>
      </c>
      <c r="K4" s="4">
        <f>J4*(1+K3)</f>
        <v>799.4170310318269</v>
      </c>
      <c r="L4" s="4">
        <f>K4*(1+L3)</f>
        <v>819.4024568076226</v>
      </c>
      <c r="M4" s="4">
        <f>L4*(1+M3)</f>
        <v>839.8875182278131</v>
      </c>
    </row>
    <row r="5" spans="1:13" ht="26.25" customHeight="1">
      <c r="A5" s="1" t="s">
        <v>173</v>
      </c>
      <c r="B5" s="5">
        <f>B6/B4</f>
        <v>0.17106811723939558</v>
      </c>
      <c r="C5" s="5">
        <f>'WD40_Inputs_bear'!B15+0</f>
        <v>0.17106811723939558</v>
      </c>
      <c r="D5" s="5">
        <f>IF(2&gt;'WD40_Inputs_bear'!B17+0,'WD40_Inputs_bear'!B16+0,'WD40_Inputs_bear'!B16+0-((('WD40_Inputs_bear'!B16+0-'WD40_Inputs_bear'!B15+0)/'WD40_Inputs_bear'!B17+0)*('WD40_Inputs_bear'!B17+0-2)))</f>
        <v>0.17106811723939558</v>
      </c>
      <c r="E5" s="5">
        <f>IF(3&gt;'WD40_Inputs_bear'!B17+0,'WD40_Inputs_bear'!B16+0,'WD40_Inputs_bear'!B16+0-((('WD40_Inputs_bear'!B16+0-'WD40_Inputs_bear'!B15+0)/'WD40_Inputs_bear'!B17+0)*('WD40_Inputs_bear'!B17+0-3)))</f>
        <v>0.17106811723939558</v>
      </c>
      <c r="F5" s="5">
        <f>IF(4&gt;'WD40_Inputs_bear'!B17+0,'WD40_Inputs_bear'!B16+0,'WD40_Inputs_bear'!B16+0-((('WD40_Inputs_bear'!B16+0-'WD40_Inputs_bear'!B15+0)/'WD40_Inputs_bear'!B17+0)*('WD40_Inputs_bear'!B17+0-4)))</f>
        <v>0.17106811723939558</v>
      </c>
      <c r="G5" s="5">
        <f>IF(5&gt;'WD40_Inputs_bear'!B17+0,'WD40_Inputs_bear'!B16+0,'WD40_Inputs_bear'!B16+0-((('WD40_Inputs_bear'!B16+0-'WD40_Inputs_bear'!B15+0)/'WD40_Inputs_bear'!B17+0)*('WD40_Inputs_bear'!B17+0-5)))</f>
        <v>0.17106811723939558</v>
      </c>
      <c r="H5" s="5">
        <f>IF(6&gt;'WD40_Inputs_bear'!B17+0,'WD40_Inputs_bear'!B16+0,'WD40_Inputs_bear'!B16+0-((('WD40_Inputs_bear'!B16+0-'WD40_Inputs_bear'!B15+0)/'WD40_Inputs_bear'!B17+0)*('WD40_Inputs_bear'!B17+0-6)))</f>
        <v>0.17106811723939558</v>
      </c>
      <c r="I5" s="5">
        <f>IF(7&gt;'WD40_Inputs_bear'!B17+0,'WD40_Inputs_bear'!B16+0,'WD40_Inputs_bear'!B16+0-((('WD40_Inputs_bear'!B16+0-'WD40_Inputs_bear'!B15+0)/'WD40_Inputs_bear'!B17+0)*('WD40_Inputs_bear'!B17+0-7)))</f>
        <v>0.17106811723939558</v>
      </c>
      <c r="J5" s="5">
        <f>IF(8&gt;'WD40_Inputs_bear'!B17+0,'WD40_Inputs_bear'!B16+0,'WD40_Inputs_bear'!B16+0-((('WD40_Inputs_bear'!B16+0-'WD40_Inputs_bear'!B15+0)/'WD40_Inputs_bear'!B17+0)*('WD40_Inputs_bear'!B17+0-8)))</f>
        <v>0.17106811723939558</v>
      </c>
      <c r="K5" s="5">
        <f>IF(9&gt;'WD40_Inputs_bear'!B17+0,'WD40_Inputs_bear'!B16+0,'WD40_Inputs_bear'!B16+0-((('WD40_Inputs_bear'!B16+0-'WD40_Inputs_bear'!B15+0)/'WD40_Inputs_bear'!B17+0)*('WD40_Inputs_bear'!B17+0-9)))</f>
        <v>0.17106811723939558</v>
      </c>
      <c r="L5" s="5">
        <f>IF(10&gt;'WD40_Inputs_bear'!B17+0,'WD40_Inputs_bear'!B16+0,'WD40_Inputs_bear'!B16+0-((('WD40_Inputs_bear'!B16+0-'WD40_Inputs_bear'!B15+0)/'WD40_Inputs_bear'!B17+0)*('WD40_Inputs_bear'!B17+0-10)))</f>
        <v>0.17106811723939558</v>
      </c>
      <c r="M5" s="5">
        <f>L5</f>
        <v>0.17106811723939558</v>
      </c>
    </row>
    <row r="6" spans="1:13" ht="26.25" customHeight="1">
      <c r="A6" s="1" t="s">
        <v>174</v>
      </c>
      <c r="B6" s="4">
        <f>'WD40_Inputs_bear'!B44+0</f>
        <v>106.05966666666667</v>
      </c>
      <c r="C6" s="4">
        <f>C5*C4</f>
        <v>109.12870909195652</v>
      </c>
      <c r="D6" s="4">
        <f>D5*D4</f>
        <v>112.38223620298523</v>
      </c>
      <c r="E6" s="4">
        <f>E5*E4</f>
        <v>115.73276289139626</v>
      </c>
      <c r="F6" s="4">
        <f>F5*F4</f>
        <v>119.18318107039374</v>
      </c>
      <c r="G6" s="4">
        <f>G5*G4</f>
        <v>122.7364688717222</v>
      </c>
      <c r="H6" s="4">
        <f>H5*H4</f>
        <v>126.277530691629</v>
      </c>
      <c r="I6" s="4">
        <f>I5*I4</f>
        <v>129.79918383025927</v>
      </c>
      <c r="J6" s="4">
        <f>J5*J4</f>
        <v>133.29408750129846</v>
      </c>
      <c r="K6" s="4">
        <f>K5*K4</f>
        <v>136.7547663877221</v>
      </c>
      <c r="L6" s="4">
        <f>L5*L4</f>
        <v>140.17363554741516</v>
      </c>
      <c r="M6" s="4">
        <f>L5*M4</f>
        <v>143.67797643610052</v>
      </c>
    </row>
    <row r="7" spans="1:13" ht="26.25" customHeight="1">
      <c r="A7" s="1" t="s">
        <v>175</v>
      </c>
      <c r="B7" s="5">
        <f>'WD40_Inputs_bear'!B11+0</f>
        <v>0.22200027552004406</v>
      </c>
      <c r="C7" s="5">
        <f>'WD40_Inputs_bear'!B11+0</f>
        <v>0.22200027552004406</v>
      </c>
      <c r="D7" s="5">
        <f>'WD40_Inputs_bear'!B11+0</f>
        <v>0.22200027552004406</v>
      </c>
      <c r="E7" s="5">
        <f>'WD40_Inputs_bear'!B11+0</f>
        <v>0.22200027552004406</v>
      </c>
      <c r="F7" s="5">
        <f>'WD40_Inputs_bear'!B11+0</f>
        <v>0.22200027552004406</v>
      </c>
      <c r="G7" s="5">
        <f>'WD40_Inputs_bear'!B11+0</f>
        <v>0.22200027552004406</v>
      </c>
      <c r="H7" s="5">
        <f>G7+(('WD40_Inputs_bear'!B46+0-'WD40_Inputs_bear'!B11+0)/5)</f>
        <v>0.22760022041603525</v>
      </c>
      <c r="I7" s="5">
        <f>H7+(('WD40_Inputs_bear'!B46+0-'WD40_Inputs_bear'!B11+0)/5)</f>
        <v>0.23320016531202645</v>
      </c>
      <c r="J7" s="5">
        <f>I7+(('WD40_Inputs_bear'!B46+0-'WD40_Inputs_bear'!B11+0)/5)</f>
        <v>0.23880011020801764</v>
      </c>
      <c r="K7" s="5">
        <f>J7+(('WD40_Inputs_bear'!B46+0-'WD40_Inputs_bear'!B11+0)/5)</f>
        <v>0.24440005510400883</v>
      </c>
      <c r="L7" s="5">
        <f>K7+(('WD40_Inputs_bear'!B46+0-'WD40_Inputs_bear'!B11+0)/5)</f>
        <v>0.25</v>
      </c>
      <c r="M7" s="5">
        <f>'WD40_Inputs_bear'!B46+0</f>
        <v>0.25</v>
      </c>
    </row>
    <row r="8" spans="1:13" ht="26.25" customHeight="1">
      <c r="A8" s="1" t="s">
        <v>176</v>
      </c>
      <c r="C8" s="4">
        <f>B12</f>
        <v>0.0</v>
      </c>
      <c r="D8" s="4">
        <f>C12</f>
        <v>0</v>
      </c>
      <c r="E8" s="4">
        <f>D12</f>
        <v>0</v>
      </c>
      <c r="F8" s="4">
        <f>E12</f>
        <v>0</v>
      </c>
      <c r="G8" s="4">
        <f>F12</f>
        <v>0</v>
      </c>
      <c r="H8" s="4">
        <f>G12</f>
        <v>0</v>
      </c>
      <c r="I8" s="4">
        <f>H12</f>
        <v>0</v>
      </c>
      <c r="J8" s="4">
        <f>I12</f>
        <v>0</v>
      </c>
      <c r="K8" s="4">
        <f>J12</f>
        <v>0</v>
      </c>
      <c r="L8" s="4">
        <f>K12</f>
        <v>0</v>
      </c>
      <c r="M8" s="4">
        <f>L12</f>
        <v>0</v>
      </c>
    </row>
    <row r="9" spans="1:13" ht="26.25" customHeight="1">
      <c r="A9" s="1" t="s">
        <v>177</v>
      </c>
      <c r="B9" s="4">
        <f>IF(B6&gt;0,(B6*(1-B7)),B6)</f>
        <v>82.51439144510263</v>
      </c>
      <c r="C9" s="4">
        <f>IF(C6&gt;0,IF(C6&lt;B12,C6,C6-((C6-B12)*C7)),C6)</f>
        <v>84.90210560639544</v>
      </c>
      <c r="D9" s="4">
        <f>IF(D6&gt;0,IF(D6&lt;C12,D6,D6-((D6-C12)*D7)),D6)</f>
        <v>87.43334880236384</v>
      </c>
      <c r="E9" s="4">
        <f>IF(E6&gt;0,IF(E6&lt;D12,E6,E6-((E6-D12)*E7)),E6)</f>
        <v>90.04005764281035</v>
      </c>
      <c r="F9" s="4">
        <f>IF(F6&gt;0,IF(F6&lt;E12,F6,F6-((F6-E12)*F7)),F6)</f>
        <v>92.72448203541103</v>
      </c>
      <c r="G9" s="4">
        <f>IF(G6&gt;0,IF(G6&lt;F12,G6,G6-((G6-F12)*G7)),G6)</f>
        <v>95.48893896584255</v>
      </c>
      <c r="H9" s="4">
        <f>IF(H6&gt;0,IF(H6&lt;G12,H6,H6-((H6-G12)*H7)),H6)</f>
        <v>97.53673687262159</v>
      </c>
      <c r="I9" s="4">
        <f>IF(I6&gt;0,IF(I6&lt;H12,I6,I6-((I6-H12)*I7)),I6)</f>
        <v>99.5299927036767</v>
      </c>
      <c r="J9" s="4">
        <f>IF(J6&gt;0,IF(J6&lt;I12,J6,J6-((J6-I12)*J7)),J6)</f>
        <v>101.46344471591124</v>
      </c>
      <c r="K9" s="4">
        <f>IF(K6&gt;0,IF(K6&lt;J12,K6,K6-((K6-J12)*K7)),K6)</f>
        <v>103.33189394682697</v>
      </c>
      <c r="L9" s="4">
        <f>IF(L6&gt;0,IF(L6&lt;K12,L6,L6-((L6-K12)*L7)),L6)</f>
        <v>105.13022666056136</v>
      </c>
      <c r="M9" s="4">
        <f>M6*(1-M7)</f>
        <v>107.7584823270754</v>
      </c>
    </row>
    <row r="10" spans="1:13" ht="26.25" customHeight="1">
      <c r="A10" s="1" t="s">
        <v>178</v>
      </c>
      <c r="C10" s="4">
        <f>IF('WD40_Inputs_bear'!B30+0=1,IF('WD40_Inputs_bear'!B31+0=0,((C4-B4)/C20),IF('WD40_Inputs_bear'!B31+0=2,((E4-D4)/C20),IF('WD40_Inputs_bear'!B31+0=3,((F4-E4)/C20),((D4-C4)/C20)))),((D4-C4)/C20))</f>
        <v>9.509449111653169</v>
      </c>
      <c r="D10" s="4">
        <f>IF('WD40_Inputs_bear'!B30+0=1,IF('WD40_Inputs_bear'!B31+0=0,((D4-C4)/D20),IF('WD40_Inputs_bear'!B31+0=2,((F4-E4)/D20),IF('WD40_Inputs_bear'!B31+0=3,((G4-F4)/D20),((E4-D4)/D20)))),((E4-D4)/D20))</f>
        <v>9.792960671105789</v>
      </c>
      <c r="E10" s="4">
        <f>IF('WD40_Inputs_bear'!B30+0=1,IF('WD40_Inputs_bear'!B31+0=0,((E4-D4)/E20),IF('WD40_Inputs_bear'!B31+0=2,((G4-F4)/E20),IF('WD40_Inputs_bear'!B31+0=3,((H4-G4)/E20),((F4-E4)/E20)))),((F4-E4)/E20))</f>
        <v>10.084924750089215</v>
      </c>
      <c r="F10" s="4">
        <f>IF('WD40_Inputs_bear'!B30+0=1,IF('WD40_Inputs_bear'!B31+0=0,((F4-E4)/F20),IF('WD40_Inputs_bear'!B31+0=2,((H4-G4)/F20),IF('WD40_Inputs_bear'!B31+0=3,((I4-H4)/F20),((G4-F4)/F20)))),((G4-F4)/F20))</f>
        <v>10.385593349215128</v>
      </c>
      <c r="G10" s="4">
        <f>IF('WD40_Inputs_bear'!B30+0=1,IF('WD40_Inputs_bear'!B31+0=0,((G4-F4)/G20),IF('WD40_Inputs_bear'!B31+0=2,((I4-H4)/G20),IF('WD40_Inputs_bear'!B31+0=3,((J4-I4)/G20),((H4-G4)/G20)))),((H4-G4)/G20))</f>
        <v>10.349859100136655</v>
      </c>
      <c r="H10" s="4">
        <f>IF('WD40_Inputs_bear'!B30+0=1,IF('WD40_Inputs_bear'!B31+0=0,((H4-G4)/H20),IF('WD40_Inputs_bear'!B31+0=2,((J4-I4)/H20),IF('WD40_Inputs_bear'!B31+0=3,((K4-J4)/H20),((I4-H4)/H20)))),((I4-H4)/H20))</f>
        <v>10.293131167457773</v>
      </c>
      <c r="I10" s="4">
        <f>IF('WD40_Inputs_bear'!B30+0=1,IF('WD40_Inputs_bear'!B31+0=0,((I4-H4)/I20),IF('WD40_Inputs_bear'!B31+0=2,((K4-J4)/I20),IF('WD40_Inputs_bear'!B31+0=3,((L4-K4)/I20),((J4-I4)/I20)))),((J4-I4)/I20))</f>
        <v>10.214947494127046</v>
      </c>
      <c r="J10" s="4">
        <f>IF('WD40_Inputs_bear'!B30+0=1,IF('WD40_Inputs_bear'!B31+0=0,((J4-I4)/J20),IF('WD40_Inputs_bear'!B31+0=2,((L4-K4)/J20),IF('WD40_Inputs_bear'!B31+0=3,((M4-L4)/J20),((K4-J4)/J20)))),((K4-J4)/J20))</f>
        <v>10.11491487212868</v>
      </c>
      <c r="K10" s="4">
        <f>IF('WD40_Inputs_bear'!B30+0=1,IF('WD40_Inputs_bear'!B31+0=0,((K4-J4)/K20),IF('WD40_Inputs_bear'!B31+0=2,((M4-L4)/K20),IF('WD40_Inputs_bear'!B31+0=3,((M4*M3)/K20),((L4-K4)/K20)))),((L4-K4)/K20))</f>
        <v>9.992712887897824</v>
      </c>
      <c r="L10" s="4">
        <f>IF('WD40_Inputs_bear'!B30+0=1,IF('WD40_Inputs_bear'!B31+0=0,((L4-K4)/L20),IF('WD40_Inputs_bear'!B31+0=2,((M4*M3)/L20),IF('WD40_Inputs_bear'!B31+0=3,((K10*(1+M3)*L20)/L20),((M4-L4)/L20)))),((M4-L4)/L20))</f>
        <v>10.242530710095252</v>
      </c>
      <c r="M10" s="4">
        <f>B30*M9</f>
        <v>33.67452572721107</v>
      </c>
    </row>
    <row r="11" spans="1:13" ht="26.25" customHeight="1">
      <c r="A11" s="1" t="s">
        <v>179</v>
      </c>
      <c r="C11" s="4">
        <f>C9-C10</f>
        <v>75.39265649474227</v>
      </c>
      <c r="D11" s="4">
        <f>D9-D10</f>
        <v>77.64038813125805</v>
      </c>
      <c r="E11" s="4">
        <f>E9-E10</f>
        <v>79.95513289272114</v>
      </c>
      <c r="F11" s="4">
        <f>F9-F10</f>
        <v>82.3388886861959</v>
      </c>
      <c r="G11" s="4">
        <f>G9-G10</f>
        <v>85.1390798657059</v>
      </c>
      <c r="H11" s="4">
        <f>H9-H10</f>
        <v>87.24360570516382</v>
      </c>
      <c r="I11" s="4">
        <f>I9-I10</f>
        <v>89.31504520954965</v>
      </c>
      <c r="J11" s="4">
        <f>J9-J10</f>
        <v>91.34852984378256</v>
      </c>
      <c r="K11" s="4">
        <f>K9-K10</f>
        <v>93.33918105892914</v>
      </c>
      <c r="L11" s="4">
        <f>L9-L10</f>
        <v>94.88769595046611</v>
      </c>
      <c r="M11" s="4">
        <f>M9-M10</f>
        <v>74.08395659986434</v>
      </c>
    </row>
    <row r="12" spans="1:13" ht="26.25" customHeight="1">
      <c r="A12" s="1" t="s">
        <v>180</v>
      </c>
      <c r="B12" s="4">
        <f>'WD40_Inputs_bear'!B28+0</f>
        <v>0.0</v>
      </c>
      <c r="C12" s="4">
        <f>IF(C6&lt;0,(B12-C6),IF(B12&gt;C6,(B12-C6),0))</f>
        <v>0</v>
      </c>
      <c r="D12" s="4">
        <f>IF(D6&lt;0,(C12-D6),IF(C12&gt;D6,(C12-D6),0))</f>
        <v>0</v>
      </c>
      <c r="E12" s="4">
        <f>IF(E6&lt;0,(D12-E6),IF(D12&gt;E6,(D12-E6),0))</f>
        <v>0</v>
      </c>
      <c r="F12" s="4">
        <f>IF(F6&lt;0,(E12-F6),IF(E12&gt;F6,(E12-F6),0))</f>
        <v>0</v>
      </c>
      <c r="G12" s="4">
        <f>IF(G6&lt;0,(F12-G6),IF(F12&gt;G6,(F12-G6),0))</f>
        <v>0</v>
      </c>
      <c r="H12" s="4">
        <f>IF(H6&lt;0,(G12-H6),IF(G12&gt;H6,(G12-H6),0))</f>
        <v>0</v>
      </c>
      <c r="I12" s="4">
        <f>IF(I6&lt;0,(H12-I6),IF(H12&gt;I6,(H12-I6),0))</f>
        <v>0</v>
      </c>
      <c r="J12" s="4">
        <f>IF(J6&lt;0,(I12-J6),IF(I12&gt;J6,(I12-J6),0))</f>
        <v>0</v>
      </c>
      <c r="K12" s="4">
        <f>IF(K6&lt;0,(J12-K6),IF(J12&gt;K6,(J12-K6),0))</f>
        <v>0</v>
      </c>
      <c r="L12" s="4">
        <f>IF(L6&lt;0,(K12-L6),IF(K12&gt;L6,(K12-L6),0))</f>
        <v>0</v>
      </c>
      <c r="M12" s="4">
        <f>IF(M6&lt;0,(L12-M6),IF(L12&gt;M6,(L12-M6),0))</f>
        <v>0</v>
      </c>
    </row>
    <row r="13" spans="1:13" ht="26.25" customHeight="1">
      <c r="A13" s="1" t="s">
        <v>181</v>
      </c>
      <c r="C13" s="5">
        <f>'WD40_Inputs_bear'!B20+0</f>
        <v>0.09</v>
      </c>
      <c r="D13" s="5">
        <f>'WD40_Inputs_bear'!B20+0</f>
        <v>0.09</v>
      </c>
      <c r="E13" s="5">
        <f>'WD40_Inputs_bear'!B20+0</f>
        <v>0.09</v>
      </c>
      <c r="F13" s="5">
        <f>'WD40_Inputs_bear'!B20+0</f>
        <v>0.09</v>
      </c>
      <c r="G13" s="5">
        <f>'WD40_Inputs_bear'!B20+0</f>
        <v>0.09</v>
      </c>
      <c r="H13" s="5">
        <f>G13-(('WD40_Inputs_bear'!B20+0-'WD40_Inputs_bear'!B21+0)/5)</f>
        <v>0.088</v>
      </c>
      <c r="I13" s="5">
        <f>H13-(('WD40_Inputs_bear'!B20+0-'WD40_Inputs_bear'!B21+0)/5)</f>
        <v>0.086</v>
      </c>
      <c r="J13" s="5">
        <f>I13-(('WD40_Inputs_bear'!B20+0-'WD40_Inputs_bear'!B21+0)/5)</f>
        <v>0.08399999999999999</v>
      </c>
      <c r="K13" s="5">
        <f>J13-(('WD40_Inputs_bear'!B20+0-'WD40_Inputs_bear'!B21+0)/5)</f>
        <v>0.08199999999999999</v>
      </c>
      <c r="L13" s="5">
        <f>K13-(('WD40_Inputs_bear'!B20+0-'WD40_Inputs_bear'!B21+0)/5)</f>
        <v>0.07999999999999999</v>
      </c>
      <c r="M13" s="5">
        <f>'WD40_Inputs_bear'!B21+0</f>
        <v>0.08</v>
      </c>
    </row>
    <row r="14" spans="1:13" ht="26.25" customHeight="1">
      <c r="A14" s="1" t="s">
        <v>182</v>
      </c>
      <c r="C14" s="4">
        <f>1*(1/(1+C13))</f>
        <v>0.9174311926605504</v>
      </c>
      <c r="D14" s="4">
        <f>C14*(1/(1+D13))</f>
        <v>0.84167999326656</v>
      </c>
      <c r="E14" s="4">
        <f>D14*(1/(1+E13))</f>
        <v>0.7721834800610641</v>
      </c>
      <c r="F14" s="4">
        <f>E14*(1/(1+F13))</f>
        <v>0.7084252110651964</v>
      </c>
      <c r="G14" s="4">
        <f>F14*(1/(1+G13))</f>
        <v>0.6499313862983452</v>
      </c>
      <c r="H14" s="4">
        <f>G14*(1/(1+H13))</f>
        <v>0.5973634065242144</v>
      </c>
      <c r="I14" s="4">
        <f>H14*(1/(1+I13))</f>
        <v>0.5500583853814128</v>
      </c>
      <c r="J14" s="4">
        <f>I14*(1/(1+J13))</f>
        <v>0.5074339348537018</v>
      </c>
      <c r="K14" s="4">
        <f>J14*(1/(1+K13))</f>
        <v>0.46897775864482605</v>
      </c>
      <c r="L14" s="4">
        <f>K14*(1/(1+L13))</f>
        <v>0.43423866541187595</v>
      </c>
    </row>
    <row r="15" spans="1:13" ht="26.25" customHeight="1">
      <c r="A15" s="1" t="s">
        <v>183</v>
      </c>
      <c r="C15" s="4">
        <f>C11*C14</f>
        <v>69.16757476581859</v>
      </c>
      <c r="D15" s="4">
        <f>D11*D14</f>
        <v>65.34836135953037</v>
      </c>
      <c r="E15" s="4">
        <f>E11*E14</f>
        <v>61.74003276584626</v>
      </c>
      <c r="F15" s="4">
        <f>F11*F14</f>
        <v>58.330944596392044</v>
      </c>
      <c r="G15" s="4">
        <f>G11*G14</f>
        <v>55.334560205283765</v>
      </c>
      <c r="H15" s="4">
        <f>H11*H14</f>
        <v>52.11613750149204</v>
      </c>
      <c r="I15" s="4">
        <f>I11*I14</f>
        <v>49.12848955823277</v>
      </c>
      <c r="J15" s="4">
        <f>J11*J14</f>
        <v>46.353343941731396</v>
      </c>
      <c r="K15" s="4">
        <f>K11*K14</f>
        <v>43.77399992676019</v>
      </c>
      <c r="L15" s="4">
        <f>L11*L14</f>
        <v>41.203906453538266</v>
      </c>
    </row>
    <row r="16" spans="1:13" ht="26.25" customHeight="1">
      <c r="A16" s="1" t="s">
        <v>184</v>
      </c>
      <c r="C16" s="4">
        <f>B17</f>
        <v>313.437</v>
      </c>
      <c r="D16" s="4">
        <f>C17</f>
        <v>322.9464491116532</v>
      </c>
      <c r="E16" s="4">
        <f>D17</f>
        <v>332.73940978275897</v>
      </c>
      <c r="F16" s="4">
        <f>E17</f>
        <v>342.8243345328482</v>
      </c>
      <c r="G16" s="4">
        <f>F17</f>
        <v>353.2099278820633</v>
      </c>
      <c r="H16" s="4">
        <f>G17</f>
        <v>363.55978698219997</v>
      </c>
      <c r="I16" s="4">
        <f>H17</f>
        <v>373.85291814965774</v>
      </c>
      <c r="J16" s="4">
        <f>I17</f>
        <v>384.0678656437848</v>
      </c>
      <c r="K16" s="4">
        <f>J17</f>
        <v>394.18278051591346</v>
      </c>
      <c r="L16" s="4">
        <f>K17</f>
        <v>404.1754934038113</v>
      </c>
    </row>
    <row r="17" spans="1:12" ht="26.25" customHeight="1">
      <c r="A17" s="1" t="s">
        <v>185</v>
      </c>
      <c r="B17" s="4">
        <f>'WD40_Inputs_bear'!B45+0</f>
        <v>313.437</v>
      </c>
      <c r="C17" s="4">
        <f>B17+C10</f>
        <v>322.9464491116532</v>
      </c>
      <c r="D17" s="4">
        <f>C17+D10</f>
        <v>332.73940978275897</v>
      </c>
      <c r="E17" s="4">
        <f>D17+E10</f>
        <v>342.8243345328482</v>
      </c>
      <c r="F17" s="4">
        <f>E17+F10</f>
        <v>353.2099278820633</v>
      </c>
      <c r="G17" s="4">
        <f>F17+G10</f>
        <v>363.55978698219997</v>
      </c>
      <c r="H17" s="4">
        <f>G17+H10</f>
        <v>373.85291814965774</v>
      </c>
      <c r="I17" s="4">
        <f>H17+I10</f>
        <v>384.0678656437848</v>
      </c>
      <c r="J17" s="4">
        <f>I17+J10</f>
        <v>394.18278051591346</v>
      </c>
      <c r="K17" s="4">
        <f>J17+K10</f>
        <v>404.1754934038113</v>
      </c>
      <c r="L17" s="4">
        <f>K17+L10</f>
        <v>414.41802411390654</v>
      </c>
    </row>
    <row r="18" spans="1:12" ht="26.25" customHeight="1">
      <c r="A18" s="1" t="s">
        <v>186</v>
      </c>
      <c r="C18" s="4">
        <f>C9-(C13*B17)</f>
        <v>56.692775606395436</v>
      </c>
      <c r="D18" s="4">
        <f>D9-(D13*C17)</f>
        <v>58.36816838231505</v>
      </c>
      <c r="E18" s="4">
        <f>E9-(E13*D17)</f>
        <v>60.093510762362044</v>
      </c>
      <c r="F18" s="4">
        <f>F9-(F13*E17)</f>
        <v>61.870291927454694</v>
      </c>
      <c r="G18" s="4">
        <f>G9-(G13*F17)</f>
        <v>63.70004545645685</v>
      </c>
      <c r="H18" s="4">
        <f>H9-(H13*G17)</f>
        <v>65.543475618188</v>
      </c>
      <c r="I18" s="4">
        <f>I9-(I13*H17)</f>
        <v>67.37864174280614</v>
      </c>
      <c r="J18" s="4">
        <f>J9-(J13*I17)</f>
        <v>69.20174400183332</v>
      </c>
      <c r="K18" s="4">
        <f>K9-(K13*J17)</f>
        <v>71.00890594452207</v>
      </c>
      <c r="L18" s="4">
        <f>L9-(L13*K17)</f>
        <v>72.79618718825645</v>
      </c>
    </row>
    <row r="19" spans="1:12" ht="26.25" customHeight="1">
      <c r="A19" s="1" t="s">
        <v>187</v>
      </c>
      <c r="C19" s="4">
        <f>C18*C14</f>
        <v>52.011720739812326</v>
      </c>
      <c r="D19" s="4">
        <f>D18*D14</f>
        <v>49.127319571008364</v>
      </c>
      <c r="E19" s="4">
        <f>E18*E14</f>
        <v>46.40321626956773</v>
      </c>
      <c r="F19" s="4">
        <f>F18*F14</f>
        <v>43.83047461737241</v>
      </c>
      <c r="G19" s="4">
        <f>G18*G14</f>
        <v>41.400658850782605</v>
      </c>
      <c r="H19" s="4">
        <f>H18*H14</f>
        <v>39.15327387071757</v>
      </c>
      <c r="I19" s="4">
        <f>I18*I14</f>
        <v>37.06218688624061</v>
      </c>
      <c r="J19" s="4">
        <f>J18*J14</f>
        <v>35.11531325758884</v>
      </c>
      <c r="K19" s="4">
        <f>K18*K14</f>
        <v>33.30159755368322</v>
      </c>
      <c r="L19" s="4">
        <f>L18*L14</f>
        <v>31.610919171701585</v>
      </c>
    </row>
    <row r="20" spans="1:12" ht="26.25" customHeight="1">
      <c r="A20" s="1" t="s">
        <v>188</v>
      </c>
      <c r="C20" s="4">
        <f>'WD40_Inputs_bear'!B18+0</f>
        <v>2</v>
      </c>
      <c r="D20" s="4">
        <f>'WD40_Inputs_bear'!B18+0</f>
        <v>2</v>
      </c>
      <c r="E20" s="4">
        <f>'WD40_Inputs_bear'!B18+0</f>
        <v>2</v>
      </c>
      <c r="F20" s="4">
        <f>'WD40_Inputs_bear'!B18+0</f>
        <v>2</v>
      </c>
      <c r="G20" s="4">
        <f>'WD40_Inputs_bear'!B18+0</f>
        <v>2</v>
      </c>
      <c r="H20" s="4">
        <f>'WD40_Inputs_bear'!B19+0</f>
        <v>2</v>
      </c>
      <c r="I20" s="4">
        <f>'WD40_Inputs_bear'!B19+0</f>
        <v>2</v>
      </c>
      <c r="J20" s="4">
        <f>'WD40_Inputs_bear'!B19+0</f>
        <v>2</v>
      </c>
      <c r="K20" s="4">
        <f>'WD40_Inputs_bear'!B19+0</f>
        <v>2</v>
      </c>
      <c r="L20" s="4">
        <f>'WD40_Inputs_bear'!B19+0</f>
        <v>2</v>
      </c>
    </row>
    <row r="21" spans="1:12" ht="26.25" customHeight="1">
      <c r="A21" s="1" t="s">
        <v>189</v>
      </c>
      <c r="B21" s="4">
        <f>M11/(M13-M3)</f>
        <v>1346.9810290884425</v>
      </c>
    </row>
    <row r="22" spans="1:12" ht="26.25" customHeight="1">
      <c r="A22" s="1" t="s">
        <v>16</v>
      </c>
      <c r="B22" s="4">
        <f>B21*L14</f>
        <v>584.9112444064805</v>
      </c>
    </row>
    <row r="23" spans="1:12" ht="26.25" customHeight="1">
      <c r="A23" s="1" t="s">
        <v>190</v>
      </c>
      <c r="B23" s="4">
        <f>SUM(C15:L15)</f>
        <v>542.4973510746257</v>
      </c>
    </row>
    <row r="24" spans="1:12" ht="26.25" customHeight="1">
      <c r="A24" s="1" t="s">
        <v>191</v>
      </c>
      <c r="B24" s="4">
        <f>B22+B23</f>
        <v>1127.4085954811062</v>
      </c>
    </row>
    <row r="25" spans="1:12" ht="26.25" customHeight="1">
      <c r="A25" s="1" t="s">
        <v>192</v>
      </c>
      <c r="B25" s="4">
        <f>IF('WD40_Inputs_bear'!B34+0=1,(('WD40_Inputs_bear'!B4+0+'WD40_Inputs_bear'!B5+0)*'WD40_Inputs_bear'!B33+0),(B24*'WD40_Inputs_bear'!B33+0))</f>
        <v>563.7042977405531</v>
      </c>
    </row>
    <row r="26" spans="1:12" ht="26.25" customHeight="1">
      <c r="A26" s="1" t="s">
        <v>14</v>
      </c>
      <c r="B26" s="3">
        <f>(B24*(1-'WD40_Inputs_bear'!B32+0))+(B25*'WD40_Inputs_bear'!B32+0)</f>
        <v>1127.4085954811062</v>
      </c>
    </row>
    <row r="27" spans="1:12" ht="26.25" customHeight="1">
      <c r="A27" s="1" t="s">
        <v>15</v>
      </c>
      <c r="B27" s="3">
        <f>B26-'WD40_Inputs_bear'!B5+0-'WD40_Inputs_bear'!B8+0+'WD40_Inputs_bear'!B48+0+'WD40_Inputs_bear'!B7+0</f>
        <v>1098.5435954811064</v>
      </c>
    </row>
    <row r="28" spans="1:12" ht="26.25" customHeight="1">
      <c r="A28" s="1" t="s">
        <v>193</v>
      </c>
      <c r="B28" s="3">
        <f>IF('WD40_Inputs_bear'!B21+0&gt;'WD40_Inputs_bear'!B22+0,IF('WD40_Inputs_bear'!B20+0&gt;0,IF('WD40_Inputs_bear'!B9+0&gt;0,IF('WD40_Inputs_bear'!B18+0&gt;0,IF('WD40_Inputs_bear'!B19+0&gt;0,IF(IF('WD40_Inputs_bear'!B23+0=1,IF('WD40_Inputs_bear'!B24+0&gt;0,1,0),1)=1,IF(IF('WD40_Inputs_bear'!B23+0=1,IF('WD40_Inputs_bear'!B24+0&gt;='WD40_Inputs_bear'!B22+0,1,0),1)=1,B27/'WD40_Inputs_bear'!B9+0,"Blocked: terminal reinvestment exceeds NOPAT"),"Blocked: active terminal ROIC must be positive"),"Blocked: years 6-10 sales to capital must be positive"),"Blocked: years 1-5 sales to capital must be positive"),"Blocked: shares must be positive"),"Blocked: starting WACC must be positive"),"Blocked: terminal WACC must exceed growth")</f>
        <v>80.57818553644175</v>
      </c>
    </row>
    <row r="29" spans="1:12" ht="26.25" customHeight="1">
      <c r="A29" s="1" t="s">
        <v>17</v>
      </c>
      <c r="B29" s="5">
        <f>B22/B24</f>
        <v>0.518810346799669</v>
      </c>
    </row>
    <row r="30" spans="1:12" ht="26.25" customHeight="1">
      <c r="A30" s="1" t="s">
        <v>194</v>
      </c>
      <c r="B30" s="5">
        <f>IF(M3&gt;0,(M3/IF('WD40_Inputs_bear'!B23+0=1,'WD40_Inputs_bear'!B24+0,L13)),0)</f>
        <v>0.31250000000000006</v>
      </c>
    </row>
    <row r="31" spans="1:12" ht="26.25" customHeight="1">
      <c r="A31" s="1" t="s">
        <v>195</v>
      </c>
      <c r="B31" s="4">
        <f>IF(M3&gt;0,((M9*(1-(M13/IF('WD40_Inputs_bear'!B23+0=1,'WD40_Inputs_bear'!B24+0,L13))))/(M13-M3)),(M9/(M13-M3)))</f>
        <v>-4.350398115570259e-13</v>
      </c>
    </row>
    <row r="32" spans="1:12" ht="26.25" customHeight="1">
      <c r="A32" s="1" t="s">
        <v>196</v>
      </c>
      <c r="B32" s="4">
        <f>IF(M3&gt;0,((M9/IF('WD40_Inputs_bear'!B23+0=1,'WD40_Inputs_bear'!B24+0,L13))-L17),(0-L17))</f>
        <v>932.5630049745362</v>
      </c>
    </row>
    <row r="33" spans="1:2" ht="26.25" customHeight="1">
      <c r="A33" s="1" t="s">
        <v>197</v>
      </c>
      <c r="B33" s="4">
        <f>B31+B32</f>
        <v>932.5630049745357</v>
      </c>
    </row>
    <row r="34" spans="1:2" ht="26.25" customHeight="1">
      <c r="A34" s="1" t="s">
        <v>198</v>
      </c>
      <c r="B34" s="4">
        <f>B17+SUM(C19:L19)+(B33*L14)</f>
        <v>1127.4085954811064</v>
      </c>
    </row>
    <row r="35" spans="1:2" ht="26.25" customHeight="1">
      <c r="A35" s="1" t="s">
        <v>20</v>
      </c>
      <c r="B35" s="3">
        <f>B34-B24</f>
        <v>2.2737367544323206e-13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48"/>
  <sheetViews>
    <sheetView workbookViewId="0" showGridLines="0">
      <pane xSplit="1" ySplit="1" topLeftCell="B2" activePane="bottomRight" state="frozen"/>
      <selection pane="bottomRight" activeCell="B2" sqref="B2"/>
    </sheetView>
  </sheetViews>
  <sheetFormatPr defaultRowHeight="15"/>
  <cols>
    <col min="1" max="1" width="65.7109375" customWidth="1"/>
    <col min="2" max="2" width="30.7109375" customWidth="1"/>
  </cols>
  <sheetData>
    <row r="1" spans="1:2" ht="36" customHeight="1">
      <c r="A1" s="1" t="s">
        <v>202</v>
      </c>
      <c r="B1" s="2" t="s">
        <v>111</v>
      </c>
    </row>
    <row r="2" spans="1:2" ht="26.25" customHeight="1">
      <c r="A2" s="1" t="s">
        <v>112</v>
      </c>
      <c r="B2" s="6">
        <f>'WD40_Regions_base'!E2+0</f>
        <v>619.985</v>
      </c>
    </row>
    <row r="3" spans="1:2" ht="26.25" customHeight="1">
      <c r="A3" s="1" t="s">
        <v>113</v>
      </c>
      <c r="B3" s="8">
        <v>103.793</v>
      </c>
    </row>
    <row r="4" spans="1:2" ht="26.25" customHeight="1">
      <c r="A4" s="1" t="s">
        <v>114</v>
      </c>
      <c r="B4" s="8">
        <v>268.472</v>
      </c>
    </row>
    <row r="5" spans="1:2" ht="26.25" customHeight="1">
      <c r="A5" s="1" t="s">
        <v>115</v>
      </c>
      <c r="B5" s="8">
        <v>86.995</v>
      </c>
    </row>
    <row r="6" spans="1:2" ht="26.25" customHeight="1">
      <c r="A6" s="1" t="s">
        <v>116</v>
      </c>
      <c r="B6" s="8">
        <v>58.13</v>
      </c>
    </row>
    <row r="7" spans="1:2" ht="26.25" customHeight="1">
      <c r="A7" s="1" t="s">
        <v>117</v>
      </c>
      <c r="B7" s="8">
        <v>0</v>
      </c>
    </row>
    <row r="8" spans="1:2" ht="26.25" customHeight="1">
      <c r="A8" s="1" t="s">
        <v>118</v>
      </c>
      <c r="B8" s="8">
        <v>0</v>
      </c>
    </row>
    <row r="9" spans="1:2" ht="26.25" customHeight="1">
      <c r="A9" s="1" t="s">
        <v>119</v>
      </c>
      <c r="B9" s="8">
        <v>13.633263</v>
      </c>
    </row>
    <row r="10" spans="1:2" ht="26.25" customHeight="1">
      <c r="A10" s="1" t="s">
        <v>120</v>
      </c>
      <c r="B10" s="8">
        <v>216.04</v>
      </c>
    </row>
    <row r="11" spans="1:2" ht="26.25" customHeight="1">
      <c r="A11" s="1" t="s">
        <v>121</v>
      </c>
      <c r="B11" s="9">
        <v>0.2220002755200441</v>
      </c>
    </row>
    <row r="12" spans="1:2" ht="26.25" customHeight="1">
      <c r="A12" s="1" t="s">
        <v>122</v>
      </c>
      <c r="B12" s="9">
        <v>0.25</v>
      </c>
    </row>
    <row r="13" spans="1:2" ht="26.25" customHeight="1">
      <c r="A13" s="1" t="s">
        <v>123</v>
      </c>
      <c r="B13" s="10">
        <f>'WD40_Regions_base'!E47+0</f>
        <v>0.06043620410171213</v>
      </c>
    </row>
    <row r="14" spans="1:2" ht="26.25" customHeight="1">
      <c r="A14" s="1" t="s">
        <v>124</v>
      </c>
      <c r="B14" s="10">
        <f>'WD40_Regions_base'!E48+0</f>
        <v>0.06154442103835711</v>
      </c>
    </row>
    <row r="15" spans="1:2" ht="26.25" customHeight="1">
      <c r="A15" s="1" t="s">
        <v>125</v>
      </c>
      <c r="B15" s="10">
        <f>B44/B2</f>
        <v>0.17106811723939558</v>
      </c>
    </row>
    <row r="16" spans="1:2" ht="26.25" customHeight="1">
      <c r="A16" s="1" t="s">
        <v>126</v>
      </c>
      <c r="B16" s="9">
        <v>0.2</v>
      </c>
    </row>
    <row r="17" spans="1:2" ht="26.25" customHeight="1">
      <c r="A17" s="1" t="s">
        <v>127</v>
      </c>
      <c r="B17" s="11">
        <v>5</v>
      </c>
    </row>
    <row r="18" spans="1:2" ht="26.25" customHeight="1">
      <c r="A18" s="1" t="s">
        <v>128</v>
      </c>
      <c r="B18" s="8">
        <v>2</v>
      </c>
    </row>
    <row r="19" spans="1:2" ht="26.25" customHeight="1">
      <c r="A19" s="1" t="s">
        <v>129</v>
      </c>
      <c r="B19" s="6">
        <f>B18+0</f>
        <v>2</v>
      </c>
    </row>
    <row r="20" spans="1:2" ht="26.25" customHeight="1">
      <c r="A20" s="1" t="s">
        <v>130</v>
      </c>
      <c r="B20" s="9">
        <v>0.075</v>
      </c>
    </row>
    <row r="21" spans="1:2" ht="26.25" customHeight="1">
      <c r="A21" s="1" t="s">
        <v>131</v>
      </c>
      <c r="B21" s="9">
        <v>0.07000000000000001</v>
      </c>
    </row>
    <row r="22" spans="1:2" ht="26.25" customHeight="1">
      <c r="A22" s="1" t="s">
        <v>64</v>
      </c>
      <c r="B22" s="9">
        <v>0.025</v>
      </c>
    </row>
    <row r="23" spans="1:2" ht="26.25" customHeight="1">
      <c r="A23" s="1" t="s">
        <v>132</v>
      </c>
      <c r="B23" s="11">
        <v>1</v>
      </c>
    </row>
    <row r="24" spans="1:2" ht="26.25" customHeight="1">
      <c r="A24" s="1" t="s">
        <v>133</v>
      </c>
      <c r="B24" s="9">
        <v>0.2</v>
      </c>
    </row>
    <row r="25" spans="1:2" ht="26.25" customHeight="1">
      <c r="A25" s="1" t="s">
        <v>134</v>
      </c>
      <c r="B25" s="8">
        <v>8.699999999999999</v>
      </c>
    </row>
    <row r="26" spans="1:2" ht="26.25" customHeight="1">
      <c r="A26" s="1" t="s">
        <v>135</v>
      </c>
      <c r="B26" s="11">
        <v>3</v>
      </c>
    </row>
    <row r="27" spans="1:2" ht="26.25" customHeight="1">
      <c r="A27" s="1" t="s">
        <v>136</v>
      </c>
      <c r="B27" s="11">
        <v>1</v>
      </c>
    </row>
    <row r="28" spans="1:2" ht="26.25" customHeight="1">
      <c r="A28" s="1" t="s">
        <v>137</v>
      </c>
      <c r="B28" s="8">
        <v>0</v>
      </c>
    </row>
    <row r="29" spans="1:2" ht="26.25" customHeight="1">
      <c r="A29" s="1" t="s">
        <v>138</v>
      </c>
      <c r="B29" s="11">
        <v>0</v>
      </c>
    </row>
    <row r="30" spans="1:2" ht="26.25" customHeight="1">
      <c r="A30" s="1" t="s">
        <v>139</v>
      </c>
      <c r="B30" s="11">
        <v>0</v>
      </c>
    </row>
    <row r="31" spans="1:2" ht="26.25" customHeight="1">
      <c r="A31" s="1" t="s">
        <v>140</v>
      </c>
      <c r="B31" s="11">
        <v>1</v>
      </c>
    </row>
    <row r="32" spans="1:2" ht="26.25" customHeight="1">
      <c r="A32" s="1" t="s">
        <v>141</v>
      </c>
      <c r="B32" s="9">
        <v>0</v>
      </c>
    </row>
    <row r="33" spans="1:2" ht="26.25" customHeight="1">
      <c r="A33" s="1" t="s">
        <v>142</v>
      </c>
      <c r="B33" s="9">
        <v>0.5</v>
      </c>
    </row>
    <row r="34" spans="1:2" ht="26.25" customHeight="1">
      <c r="A34" s="1" t="s">
        <v>143</v>
      </c>
      <c r="B34" s="11">
        <v>0</v>
      </c>
    </row>
    <row r="35" spans="1:2" ht="26.25" customHeight="1">
      <c r="A35" s="1" t="s">
        <v>144</v>
      </c>
      <c r="B35" s="8">
        <v>0</v>
      </c>
    </row>
    <row r="36" spans="1:2" ht="26.25" customHeight="1">
      <c r="A36" s="1" t="s">
        <v>145</v>
      </c>
      <c r="B36" s="9">
        <v>0</v>
      </c>
    </row>
    <row r="37" spans="1:2" ht="26.25" customHeight="1">
      <c r="A37" s="1" t="s">
        <v>146</v>
      </c>
      <c r="B37" s="11">
        <v>0</v>
      </c>
    </row>
    <row r="38" spans="1:2" ht="26.25" customHeight="1">
      <c r="A38" s="1" t="s">
        <v>147</v>
      </c>
      <c r="B38" s="8">
        <v>8</v>
      </c>
    </row>
    <row r="39" spans="1:2" ht="26.25" customHeight="1">
      <c r="A39" s="1" t="s">
        <v>148</v>
      </c>
      <c r="B39" s="8">
        <v>6.2</v>
      </c>
    </row>
    <row r="40" spans="1:2" ht="26.25" customHeight="1">
      <c r="A40" s="1" t="s">
        <v>149</v>
      </c>
      <c r="B40" s="8">
        <v>5.1</v>
      </c>
    </row>
    <row r="41" spans="1:2" ht="26.25" customHeight="1">
      <c r="A41" s="1" t="s">
        <v>150</v>
      </c>
      <c r="B41" s="8">
        <v>5.6</v>
      </c>
    </row>
    <row r="42" spans="1:2" ht="26.25" customHeight="1">
      <c r="A42" s="1" t="s">
        <v>151</v>
      </c>
      <c r="B42" s="6">
        <f>0+IF(1&lt;=B26,(B38/B26),0)+IF(2&lt;=B26,(B39/B26),0)+IF(3&lt;=B26,(B40/B26),0)+IF(4&lt;=B26,(B41/B26),0)</f>
        <v>6.433333333333334</v>
      </c>
    </row>
    <row r="43" spans="1:2" ht="26.25" customHeight="1">
      <c r="A43" s="1" t="s">
        <v>152</v>
      </c>
      <c r="B43" s="6">
        <f>B25+IF(1&lt;B26,(B38*((B26-1)/B26)),0)+IF(2&lt;B26,(B39*((B26-2)/B26)),0)+IF(3&lt;B26,(B40*((B26-3)/B26)),0)+IF(4&lt;B26,(B41*((B26-4)/B26)),0)</f>
        <v>16.099999999999998</v>
      </c>
    </row>
    <row r="44" spans="1:2" ht="26.25" customHeight="1">
      <c r="A44" s="1" t="s">
        <v>153</v>
      </c>
      <c r="B44" s="6">
        <f>B3+IF(B27=1,(B25-B42),0)</f>
        <v>106.05966666666667</v>
      </c>
    </row>
    <row r="45" spans="1:2" ht="26.25" customHeight="1">
      <c r="A45" s="1" t="s">
        <v>154</v>
      </c>
      <c r="B45" s="6">
        <f>B4+B5-B6+IF(B27=1,B43,0)</f>
        <v>313.437</v>
      </c>
    </row>
    <row r="46" spans="1:2" ht="26.25" customHeight="1">
      <c r="A46" s="1" t="s">
        <v>155</v>
      </c>
      <c r="B46" s="10">
        <f>IF(B29=1,B11,B12)</f>
        <v>0.25</v>
      </c>
    </row>
    <row r="47" spans="1:2" ht="26.25" customHeight="1">
      <c r="A47" s="1" t="s">
        <v>156</v>
      </c>
      <c r="B47" s="10">
        <f>IF(B23=1,B24,B21)</f>
        <v>0.2</v>
      </c>
    </row>
    <row r="48" spans="1:2" ht="26.25" customHeight="1">
      <c r="A48" s="1" t="s">
        <v>157</v>
      </c>
      <c r="B48" s="6">
        <f>B6-IF(B37=1,(B35*(B12-B36)),0)</f>
        <v>58.13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M35"/>
  <sheetViews>
    <sheetView workbookViewId="0" showGridLines="0">
      <pane xSplit="1" ySplit="1" topLeftCell="B2" activePane="bottomRight" state="frozen"/>
      <selection pane="bottomRight" activeCell="B2" sqref="B2"/>
    </sheetView>
  </sheetViews>
  <sheetFormatPr defaultRowHeight="15"/>
  <cols>
    <col min="1" max="1" width="58.7109375" customWidth="1"/>
    <col min="2" max="13" width="22.7109375" customWidth="1"/>
  </cols>
  <sheetData>
    <row r="1" spans="1:13" ht="36" customHeight="1">
      <c r="A1" s="1" t="s">
        <v>203</v>
      </c>
      <c r="B1" s="2" t="s">
        <v>11</v>
      </c>
      <c r="C1" s="2" t="s">
        <v>159</v>
      </c>
      <c r="D1" s="2" t="s">
        <v>160</v>
      </c>
      <c r="E1" s="2" t="s">
        <v>161</v>
      </c>
      <c r="F1" s="2" t="s">
        <v>162</v>
      </c>
      <c r="G1" s="2" t="s">
        <v>163</v>
      </c>
      <c r="H1" s="2" t="s">
        <v>164</v>
      </c>
      <c r="I1" s="2" t="s">
        <v>165</v>
      </c>
      <c r="J1" s="2" t="s">
        <v>166</v>
      </c>
      <c r="K1" s="2" t="s">
        <v>167</v>
      </c>
      <c r="L1" s="2" t="s">
        <v>168</v>
      </c>
      <c r="M1" s="2" t="s">
        <v>169</v>
      </c>
    </row>
    <row r="2" spans="1:13" ht="26.25" customHeight="1">
      <c r="A2" s="1" t="s">
        <v>170</v>
      </c>
      <c r="B2" s="12">
        <v>0</v>
      </c>
      <c r="C2" s="12">
        <v>1</v>
      </c>
      <c r="D2" s="12">
        <v>2</v>
      </c>
      <c r="E2" s="12">
        <v>3</v>
      </c>
      <c r="F2" s="12">
        <v>4</v>
      </c>
      <c r="G2" s="12">
        <v>5</v>
      </c>
      <c r="H2" s="12">
        <v>6</v>
      </c>
      <c r="I2" s="12">
        <v>7</v>
      </c>
      <c r="J2" s="12">
        <v>8</v>
      </c>
      <c r="K2" s="12">
        <v>9</v>
      </c>
      <c r="L2" s="12">
        <v>10</v>
      </c>
      <c r="M2" s="12">
        <v>11</v>
      </c>
    </row>
    <row r="3" spans="1:13" ht="26.25" customHeight="1">
      <c r="A3" s="1" t="s">
        <v>171</v>
      </c>
      <c r="C3" s="5">
        <f>'WD40_Inputs_base'!B13+0</f>
        <v>0.06043620410171213</v>
      </c>
      <c r="D3" s="5">
        <f>'WD40_Inputs_base'!B14+0</f>
        <v>0.06154442103835711</v>
      </c>
      <c r="E3" s="5">
        <f>'WD40_Inputs_base'!B14+0</f>
        <v>0.06154442103835711</v>
      </c>
      <c r="F3" s="5">
        <f>'WD40_Inputs_base'!B14+0</f>
        <v>0.06154442103835711</v>
      </c>
      <c r="G3" s="5">
        <f>'WD40_Inputs_base'!B14+0</f>
        <v>0.06154442103835711</v>
      </c>
      <c r="H3" s="5">
        <f>'WD40_Inputs_base'!B14+0-((('WD40_Inputs_base'!B14+0-'WD40_Inputs_base'!B22+0)/5)*1)</f>
        <v>0.05423553683068569</v>
      </c>
      <c r="I3" s="5">
        <f>'WD40_Inputs_base'!B14+0-((('WD40_Inputs_base'!B14+0-'WD40_Inputs_base'!B22+0)/5)*2)</f>
        <v>0.046926652623014264</v>
      </c>
      <c r="J3" s="5">
        <f>'WD40_Inputs_base'!B14+0-((('WD40_Inputs_base'!B14+0-'WD40_Inputs_base'!B22+0)/5)*3)</f>
        <v>0.03961776841534285</v>
      </c>
      <c r="K3" s="5">
        <f>'WD40_Inputs_base'!B14+0-((('WD40_Inputs_base'!B14+0-'WD40_Inputs_base'!B22+0)/5)*4)</f>
        <v>0.032308884207671425</v>
      </c>
      <c r="L3" s="5">
        <f>'WD40_Inputs_base'!B14+0-((('WD40_Inputs_base'!B14+0-'WD40_Inputs_base'!B22+0)/5)*5)</f>
        <v>0.025</v>
      </c>
      <c r="M3" s="5">
        <f>'WD40_Inputs_base'!B22+0</f>
        <v>0.025</v>
      </c>
    </row>
    <row r="4" spans="1:13" ht="26.25" customHeight="1">
      <c r="A4" s="1" t="s">
        <v>172</v>
      </c>
      <c r="B4" s="4">
        <f>'WD40_Inputs_base'!B2+0</f>
        <v>619.985</v>
      </c>
      <c r="C4" s="4">
        <f>B4*(1+C3)</f>
        <v>657.4545400000001</v>
      </c>
      <c r="D4" s="4">
        <f>C4*(1+D3)</f>
        <v>697.9171990233394</v>
      </c>
      <c r="E4" s="4">
        <f>D4*(1+E3)</f>
        <v>740.8701089699427</v>
      </c>
      <c r="F4" s="4">
        <f>E4*(1+F3)</f>
        <v>786.4665308911224</v>
      </c>
      <c r="G4" s="4">
        <f>F4*(1+G3)</f>
        <v>834.8691582008616</v>
      </c>
      <c r="H4" s="4">
        <f>G4*(1+H3)</f>
        <v>880.1487351792681</v>
      </c>
      <c r="I4" s="4">
        <f>H4*(1+I3)</f>
        <v>921.451169131611</v>
      </c>
      <c r="J4" s="4">
        <f>I4*(1+J3)</f>
        <v>957.9570081563141</v>
      </c>
      <c r="K4" s="4">
        <f>J4*(1+K3)</f>
        <v>988.907530208764</v>
      </c>
      <c r="L4" s="4">
        <f>K4*(1+L3)</f>
        <v>1013.630218463983</v>
      </c>
      <c r="M4" s="4">
        <f>L4*(1+M3)</f>
        <v>1038.9709739255825</v>
      </c>
    </row>
    <row r="5" spans="1:13" ht="26.25" customHeight="1">
      <c r="A5" s="1" t="s">
        <v>173</v>
      </c>
      <c r="B5" s="5">
        <f>B6/B4</f>
        <v>0.17106811723939558</v>
      </c>
      <c r="C5" s="5">
        <f>'WD40_Inputs_base'!B15+0</f>
        <v>0.17106811723939558</v>
      </c>
      <c r="D5" s="5">
        <f>IF(2&gt;'WD40_Inputs_base'!B17+0,'WD40_Inputs_base'!B16+0,'WD40_Inputs_base'!B16+0-((('WD40_Inputs_base'!B16+0-'WD40_Inputs_base'!B15+0)/'WD40_Inputs_base'!B17+0)*('WD40_Inputs_base'!B17+0-2)))</f>
        <v>0.18264087034363735</v>
      </c>
      <c r="E5" s="5">
        <f>IF(3&gt;'WD40_Inputs_base'!B17+0,'WD40_Inputs_base'!B16+0,'WD40_Inputs_base'!B16+0-((('WD40_Inputs_base'!B16+0-'WD40_Inputs_base'!B15+0)/'WD40_Inputs_base'!B17+0)*('WD40_Inputs_base'!B17+0-3)))</f>
        <v>0.18842724689575824</v>
      </c>
      <c r="F5" s="5">
        <f>IF(4&gt;'WD40_Inputs_base'!B17+0,'WD40_Inputs_base'!B16+0,'WD40_Inputs_base'!B16+0-((('WD40_Inputs_base'!B16+0-'WD40_Inputs_base'!B15+0)/'WD40_Inputs_base'!B17+0)*('WD40_Inputs_base'!B17+0-4)))</f>
        <v>0.19421362344787912</v>
      </c>
      <c r="G5" s="5">
        <f>IF(5&gt;'WD40_Inputs_base'!B17+0,'WD40_Inputs_base'!B16+0,'WD40_Inputs_base'!B16+0-((('WD40_Inputs_base'!B16+0-'WD40_Inputs_base'!B15+0)/'WD40_Inputs_base'!B17+0)*('WD40_Inputs_base'!B17+0-5)))</f>
        <v>0.2</v>
      </c>
      <c r="H5" s="5">
        <f>IF(6&gt;'WD40_Inputs_base'!B17+0,'WD40_Inputs_base'!B16+0,'WD40_Inputs_base'!B16+0-((('WD40_Inputs_base'!B16+0-'WD40_Inputs_base'!B15+0)/'WD40_Inputs_base'!B17+0)*('WD40_Inputs_base'!B17+0-6)))</f>
        <v>0.2</v>
      </c>
      <c r="I5" s="5">
        <f>IF(7&gt;'WD40_Inputs_base'!B17+0,'WD40_Inputs_base'!B16+0,'WD40_Inputs_base'!B16+0-((('WD40_Inputs_base'!B16+0-'WD40_Inputs_base'!B15+0)/'WD40_Inputs_base'!B17+0)*('WD40_Inputs_base'!B17+0-7)))</f>
        <v>0.2</v>
      </c>
      <c r="J5" s="5">
        <f>IF(8&gt;'WD40_Inputs_base'!B17+0,'WD40_Inputs_base'!B16+0,'WD40_Inputs_base'!B16+0-((('WD40_Inputs_base'!B16+0-'WD40_Inputs_base'!B15+0)/'WD40_Inputs_base'!B17+0)*('WD40_Inputs_base'!B17+0-8)))</f>
        <v>0.2</v>
      </c>
      <c r="K5" s="5">
        <f>IF(9&gt;'WD40_Inputs_base'!B17+0,'WD40_Inputs_base'!B16+0,'WD40_Inputs_base'!B16+0-((('WD40_Inputs_base'!B16+0-'WD40_Inputs_base'!B15+0)/'WD40_Inputs_base'!B17+0)*('WD40_Inputs_base'!B17+0-9)))</f>
        <v>0.2</v>
      </c>
      <c r="L5" s="5">
        <f>IF(10&gt;'WD40_Inputs_base'!B17+0,'WD40_Inputs_base'!B16+0,'WD40_Inputs_base'!B16+0-((('WD40_Inputs_base'!B16+0-'WD40_Inputs_base'!B15+0)/'WD40_Inputs_base'!B17+0)*('WD40_Inputs_base'!B17+0-10)))</f>
        <v>0.2</v>
      </c>
      <c r="M5" s="5">
        <f>L5</f>
        <v>0.2</v>
      </c>
    </row>
    <row r="6" spans="1:13" ht="26.25" customHeight="1">
      <c r="A6" s="1" t="s">
        <v>174</v>
      </c>
      <c r="B6" s="4">
        <f>'WD40_Inputs_base'!B44+0</f>
        <v>106.05966666666667</v>
      </c>
      <c r="C6" s="4">
        <f>C5*C4</f>
        <v>112.4695103282929</v>
      </c>
      <c r="D6" s="4">
        <f>D5*D4</f>
        <v>127.46820465741628</v>
      </c>
      <c r="E6" s="4">
        <f>E5*E4</f>
        <v>139.60011494056673</v>
      </c>
      <c r="F6" s="4">
        <f>F5*F4</f>
        <v>152.74251468484823</v>
      </c>
      <c r="G6" s="4">
        <f>G5*G4</f>
        <v>166.97383164017234</v>
      </c>
      <c r="H6" s="4">
        <f>H5*H4</f>
        <v>176.02974703585363</v>
      </c>
      <c r="I6" s="4">
        <f>I5*I4</f>
        <v>184.2902338263222</v>
      </c>
      <c r="J6" s="4">
        <f>J5*J4</f>
        <v>191.59140163126284</v>
      </c>
      <c r="K6" s="4">
        <f>K5*K4</f>
        <v>197.7815060417528</v>
      </c>
      <c r="L6" s="4">
        <f>L5*L4</f>
        <v>202.72604369279662</v>
      </c>
      <c r="M6" s="4">
        <f>L5*M4</f>
        <v>207.7941947851165</v>
      </c>
    </row>
    <row r="7" spans="1:13" ht="26.25" customHeight="1">
      <c r="A7" s="1" t="s">
        <v>175</v>
      </c>
      <c r="B7" s="5">
        <f>'WD40_Inputs_base'!B11+0</f>
        <v>0.22200027552004406</v>
      </c>
      <c r="C7" s="5">
        <f>'WD40_Inputs_base'!B11+0</f>
        <v>0.22200027552004406</v>
      </c>
      <c r="D7" s="5">
        <f>'WD40_Inputs_base'!B11+0</f>
        <v>0.22200027552004406</v>
      </c>
      <c r="E7" s="5">
        <f>'WD40_Inputs_base'!B11+0</f>
        <v>0.22200027552004406</v>
      </c>
      <c r="F7" s="5">
        <f>'WD40_Inputs_base'!B11+0</f>
        <v>0.22200027552004406</v>
      </c>
      <c r="G7" s="5">
        <f>'WD40_Inputs_base'!B11+0</f>
        <v>0.22200027552004406</v>
      </c>
      <c r="H7" s="5">
        <f>G7+(('WD40_Inputs_base'!B46+0-'WD40_Inputs_base'!B11+0)/5)</f>
        <v>0.22760022041603525</v>
      </c>
      <c r="I7" s="5">
        <f>H7+(('WD40_Inputs_base'!B46+0-'WD40_Inputs_base'!B11+0)/5)</f>
        <v>0.23320016531202645</v>
      </c>
      <c r="J7" s="5">
        <f>I7+(('WD40_Inputs_base'!B46+0-'WD40_Inputs_base'!B11+0)/5)</f>
        <v>0.23880011020801764</v>
      </c>
      <c r="K7" s="5">
        <f>J7+(('WD40_Inputs_base'!B46+0-'WD40_Inputs_base'!B11+0)/5)</f>
        <v>0.24440005510400883</v>
      </c>
      <c r="L7" s="5">
        <f>K7+(('WD40_Inputs_base'!B46+0-'WD40_Inputs_base'!B11+0)/5)</f>
        <v>0.25</v>
      </c>
      <c r="M7" s="5">
        <f>'WD40_Inputs_base'!B46+0</f>
        <v>0.25</v>
      </c>
    </row>
    <row r="8" spans="1:13" ht="26.25" customHeight="1">
      <c r="A8" s="1" t="s">
        <v>176</v>
      </c>
      <c r="C8" s="4">
        <f>B12</f>
        <v>0.0</v>
      </c>
      <c r="D8" s="4">
        <f>C12</f>
        <v>0</v>
      </c>
      <c r="E8" s="4">
        <f>D12</f>
        <v>0</v>
      </c>
      <c r="F8" s="4">
        <f>E12</f>
        <v>0</v>
      </c>
      <c r="G8" s="4">
        <f>F12</f>
        <v>0</v>
      </c>
      <c r="H8" s="4">
        <f>G12</f>
        <v>0</v>
      </c>
      <c r="I8" s="4">
        <f>H12</f>
        <v>0</v>
      </c>
      <c r="J8" s="4">
        <f>I12</f>
        <v>0</v>
      </c>
      <c r="K8" s="4">
        <f>J12</f>
        <v>0</v>
      </c>
      <c r="L8" s="4">
        <f>K12</f>
        <v>0</v>
      </c>
      <c r="M8" s="4">
        <f>L12</f>
        <v>0</v>
      </c>
    </row>
    <row r="9" spans="1:13" ht="26.25" customHeight="1">
      <c r="A9" s="1" t="s">
        <v>177</v>
      </c>
      <c r="B9" s="4">
        <f>IF(B6&gt;0,(B6*(1-B7)),B6)</f>
        <v>82.51439144510263</v>
      </c>
      <c r="C9" s="4">
        <f>IF(C6&gt;0,IF(C6&lt;B12,C6,C6-((C6-B12)*C7)),C6)</f>
        <v>87.50124804780744</v>
      </c>
      <c r="D9" s="4">
        <f>IF(D6&gt;0,IF(D6&lt;C12,D6,D6-((D6-C12)*D7)),D6)</f>
        <v>99.1702281034245</v>
      </c>
      <c r="E9" s="4">
        <f>IF(E6&gt;0,IF(E6&lt;D12,E6,E6-((E6-D12)*E7)),E6)</f>
        <v>108.6088509611311</v>
      </c>
      <c r="F9" s="4">
        <f>IF(F6&gt;0,IF(F6&lt;E12,F6,F6-((F6-E12)*F7)),F6)</f>
        <v>118.83363434118755</v>
      </c>
      <c r="G9" s="4">
        <f>IF(G6&gt;0,IF(G6&lt;F12,G6,G6-((G6-F12)*G7)),G6)</f>
        <v>129.90559501141664</v>
      </c>
      <c r="H9" s="4">
        <f>IF(H6&gt;0,IF(H6&lt;G12,H6,H6-((H6-G12)*H7)),H6)</f>
        <v>135.9653378107144</v>
      </c>
      <c r="I9" s="4">
        <f>IF(I6&gt;0,IF(I6&lt;H12,I6,I6-((I6-H12)*I7)),I6)</f>
        <v>141.31372083263187</v>
      </c>
      <c r="J9" s="4">
        <f>IF(J6&gt;0,IF(J6&lt;I12,J6,J6-((J6-I12)*J7)),J6)</f>
        <v>145.8393538068087</v>
      </c>
      <c r="K9" s="4">
        <f>IF(K6&gt;0,IF(K6&lt;J12,K6,K6-((K6-J12)*K7)),K6)</f>
        <v>149.44369506659456</v>
      </c>
      <c r="L9" s="4">
        <f>IF(L6&gt;0,IF(L6&lt;K12,L6,L6-((L6-K12)*L7)),L6)</f>
        <v>152.04453276959748</v>
      </c>
      <c r="M9" s="4">
        <f>M6*(1-M7)</f>
        <v>155.84564608883738</v>
      </c>
    </row>
    <row r="10" spans="1:13" ht="26.25" customHeight="1">
      <c r="A10" s="1" t="s">
        <v>178</v>
      </c>
      <c r="C10" s="4">
        <f>IF('WD40_Inputs_base'!B30+0=1,IF('WD40_Inputs_base'!B31+0=0,((C4-B4)/C20),IF('WD40_Inputs_base'!B31+0=2,((E4-D4)/C20),IF('WD40_Inputs_base'!B31+0=3,((F4-E4)/C20),((D4-C4)/C20)))),((D4-C4)/C20))</f>
        <v>20.231329511669685</v>
      </c>
      <c r="D10" s="4">
        <f>IF('WD40_Inputs_base'!B30+0=1,IF('WD40_Inputs_base'!B31+0=0,((D4-C4)/D20),IF('WD40_Inputs_base'!B31+0=2,((F4-E4)/D20),IF('WD40_Inputs_base'!B31+0=3,((G4-F4)/D20),((E4-D4)/D20)))),((E4-D4)/D20))</f>
        <v>21.476454973301657</v>
      </c>
      <c r="E10" s="4">
        <f>IF('WD40_Inputs_base'!B30+0=1,IF('WD40_Inputs_base'!B31+0=0,((E4-D4)/E20),IF('WD40_Inputs_base'!B31+0=2,((G4-F4)/E20),IF('WD40_Inputs_base'!B31+0=3,((H4-G4)/E20),((F4-E4)/E20)))),((F4-E4)/E20))</f>
        <v>22.798210960589813</v>
      </c>
      <c r="F10" s="4">
        <f>IF('WD40_Inputs_base'!B30+0=1,IF('WD40_Inputs_base'!B31+0=0,((F4-E4)/F20),IF('WD40_Inputs_base'!B31+0=2,((H4-G4)/F20),IF('WD40_Inputs_base'!B31+0=3,((I4-H4)/F20),((G4-F4)/F20)))),((G4-F4)/F20))</f>
        <v>24.201313654869637</v>
      </c>
      <c r="G10" s="4">
        <f>IF('WD40_Inputs_base'!B30+0=1,IF('WD40_Inputs_base'!B31+0=0,((G4-F4)/G20),IF('WD40_Inputs_base'!B31+0=2,((I4-H4)/G20),IF('WD40_Inputs_base'!B31+0=3,((J4-I4)/G20),((H4-G4)/G20)))),((H4-G4)/G20))</f>
        <v>22.639788489203227</v>
      </c>
      <c r="H10" s="4">
        <f>IF('WD40_Inputs_base'!B30+0=1,IF('WD40_Inputs_base'!B31+0=0,((H4-G4)/H20),IF('WD40_Inputs_base'!B31+0=2,((J4-I4)/H20),IF('WD40_Inputs_base'!B31+0=3,((K4-J4)/H20),((I4-H4)/H20)))),((I4-H4)/H20))</f>
        <v>20.65121697617144</v>
      </c>
      <c r="I10" s="4">
        <f>IF('WD40_Inputs_base'!B30+0=1,IF('WD40_Inputs_base'!B31+0=0,((I4-H4)/I20),IF('WD40_Inputs_base'!B31+0=2,((K4-J4)/I20),IF('WD40_Inputs_base'!B31+0=3,((L4-K4)/I20),((J4-I4)/I20)))),((J4-I4)/I20))</f>
        <v>18.252919512351582</v>
      </c>
      <c r="J10" s="4">
        <f>IF('WD40_Inputs_base'!B30+0=1,IF('WD40_Inputs_base'!B31+0=0,((J4-I4)/J20),IF('WD40_Inputs_base'!B31+0=2,((L4-K4)/J20),IF('WD40_Inputs_base'!B31+0=3,((M4-L4)/J20),((K4-J4)/J20)))),((K4-J4)/J20))</f>
        <v>15.475261026224928</v>
      </c>
      <c r="K10" s="4">
        <f>IF('WD40_Inputs_base'!B30+0=1,IF('WD40_Inputs_base'!B31+0=0,((K4-J4)/K20),IF('WD40_Inputs_base'!B31+0=2,((M4-L4)/K20),IF('WD40_Inputs_base'!B31+0=3,((M4*M3)/K20),((L4-K4)/K20)))),((L4-K4)/K20))</f>
        <v>12.361344127609527</v>
      </c>
      <c r="L10" s="4">
        <f>IF('WD40_Inputs_base'!B30+0=1,IF('WD40_Inputs_base'!B31+0=0,((L4-K4)/L20),IF('WD40_Inputs_base'!B31+0=2,((M4*M3)/L20),IF('WD40_Inputs_base'!B31+0=3,((K10*(1+M3)*L20)/L20),((M4-L4)/L20)))),((M4-L4)/L20))</f>
        <v>12.670377730799714</v>
      </c>
      <c r="M10" s="4">
        <f>B30*M9</f>
        <v>19.480705761104673</v>
      </c>
    </row>
    <row r="11" spans="1:13" ht="26.25" customHeight="1">
      <c r="A11" s="1" t="s">
        <v>179</v>
      </c>
      <c r="C11" s="4">
        <f>C9-C10</f>
        <v>67.26991853613775</v>
      </c>
      <c r="D11" s="4">
        <f>D9-D10</f>
        <v>77.69377313012285</v>
      </c>
      <c r="E11" s="4">
        <f>E9-E10</f>
        <v>85.81064000054128</v>
      </c>
      <c r="F11" s="4">
        <f>F9-F10</f>
        <v>94.63232068631791</v>
      </c>
      <c r="G11" s="4">
        <f>G9-G10</f>
        <v>107.26580652221341</v>
      </c>
      <c r="H11" s="4">
        <f>H9-H10</f>
        <v>115.31412083454296</v>
      </c>
      <c r="I11" s="4">
        <f>I9-I10</f>
        <v>123.06080132028029</v>
      </c>
      <c r="J11" s="4">
        <f>J9-J10</f>
        <v>130.36409278058377</v>
      </c>
      <c r="K11" s="4">
        <f>K9-K10</f>
        <v>137.08235093898503</v>
      </c>
      <c r="L11" s="4">
        <f>L9-L10</f>
        <v>139.37415503879777</v>
      </c>
      <c r="M11" s="4">
        <f>M9-M10</f>
        <v>136.3649403277327</v>
      </c>
    </row>
    <row r="12" spans="1:13" ht="26.25" customHeight="1">
      <c r="A12" s="1" t="s">
        <v>180</v>
      </c>
      <c r="B12" s="4">
        <f>'WD40_Inputs_base'!B28+0</f>
        <v>0.0</v>
      </c>
      <c r="C12" s="4">
        <f>IF(C6&lt;0,(B12-C6),IF(B12&gt;C6,(B12-C6),0))</f>
        <v>0</v>
      </c>
      <c r="D12" s="4">
        <f>IF(D6&lt;0,(C12-D6),IF(C12&gt;D6,(C12-D6),0))</f>
        <v>0</v>
      </c>
      <c r="E12" s="4">
        <f>IF(E6&lt;0,(D12-E6),IF(D12&gt;E6,(D12-E6),0))</f>
        <v>0</v>
      </c>
      <c r="F12" s="4">
        <f>IF(F6&lt;0,(E12-F6),IF(E12&gt;F6,(E12-F6),0))</f>
        <v>0</v>
      </c>
      <c r="G12" s="4">
        <f>IF(G6&lt;0,(F12-G6),IF(F12&gt;G6,(F12-G6),0))</f>
        <v>0</v>
      </c>
      <c r="H12" s="4">
        <f>IF(H6&lt;0,(G12-H6),IF(G12&gt;H6,(G12-H6),0))</f>
        <v>0</v>
      </c>
      <c r="I12" s="4">
        <f>IF(I6&lt;0,(H12-I6),IF(H12&gt;I6,(H12-I6),0))</f>
        <v>0</v>
      </c>
      <c r="J12" s="4">
        <f>IF(J6&lt;0,(I12-J6),IF(I12&gt;J6,(I12-J6),0))</f>
        <v>0</v>
      </c>
      <c r="K12" s="4">
        <f>IF(K6&lt;0,(J12-K6),IF(J12&gt;K6,(J12-K6),0))</f>
        <v>0</v>
      </c>
      <c r="L12" s="4">
        <f>IF(L6&lt;0,(K12-L6),IF(K12&gt;L6,(K12-L6),0))</f>
        <v>0</v>
      </c>
      <c r="M12" s="4">
        <f>IF(M6&lt;0,(L12-M6),IF(L12&gt;M6,(L12-M6),0))</f>
        <v>0</v>
      </c>
    </row>
    <row r="13" spans="1:13" ht="26.25" customHeight="1">
      <c r="A13" s="1" t="s">
        <v>181</v>
      </c>
      <c r="C13" s="5">
        <f>'WD40_Inputs_base'!B20+0</f>
        <v>0.075</v>
      </c>
      <c r="D13" s="5">
        <f>'WD40_Inputs_base'!B20+0</f>
        <v>0.075</v>
      </c>
      <c r="E13" s="5">
        <f>'WD40_Inputs_base'!B20+0</f>
        <v>0.075</v>
      </c>
      <c r="F13" s="5">
        <f>'WD40_Inputs_base'!B20+0</f>
        <v>0.075</v>
      </c>
      <c r="G13" s="5">
        <f>'WD40_Inputs_base'!B20+0</f>
        <v>0.075</v>
      </c>
      <c r="H13" s="5">
        <f>G13-(('WD40_Inputs_base'!B20+0-'WD40_Inputs_base'!B21+0)/5)</f>
        <v>0.074</v>
      </c>
      <c r="I13" s="5">
        <f>H13-(('WD40_Inputs_base'!B20+0-'WD40_Inputs_base'!B21+0)/5)</f>
        <v>0.073</v>
      </c>
      <c r="J13" s="5">
        <f>I13-(('WD40_Inputs_base'!B20+0-'WD40_Inputs_base'!B21+0)/5)</f>
        <v>0.072</v>
      </c>
      <c r="K13" s="5">
        <f>J13-(('WD40_Inputs_base'!B20+0-'WD40_Inputs_base'!B21+0)/5)</f>
        <v>0.071</v>
      </c>
      <c r="L13" s="5">
        <f>K13-(('WD40_Inputs_base'!B20+0-'WD40_Inputs_base'!B21+0)/5)</f>
        <v>0.06999999999999999</v>
      </c>
      <c r="M13" s="5">
        <f>'WD40_Inputs_base'!B21+0</f>
        <v>0.07</v>
      </c>
    </row>
    <row r="14" spans="1:13" ht="26.25" customHeight="1">
      <c r="A14" s="1" t="s">
        <v>182</v>
      </c>
      <c r="C14" s="4">
        <f>1*(1/(1+C13))</f>
        <v>0.9302325581395349</v>
      </c>
      <c r="D14" s="4">
        <f>C14*(1/(1+D13))</f>
        <v>0.8653326122228231</v>
      </c>
      <c r="E14" s="4">
        <f>D14*(1/(1+E13))</f>
        <v>0.8049605695096028</v>
      </c>
      <c r="F14" s="4">
        <f>E14*(1/(1+F13))</f>
        <v>0.7488005297763747</v>
      </c>
      <c r="G14" s="4">
        <f>F14*(1/(1+G13))</f>
        <v>0.696558632350116</v>
      </c>
      <c r="H14" s="4">
        <f>G14*(1/(1+H13))</f>
        <v>0.6485648345904245</v>
      </c>
      <c r="I14" s="4">
        <f>H14*(1/(1+I13))</f>
        <v>0.6044406659743006</v>
      </c>
      <c r="J14" s="4">
        <f>I14*(1/(1+J13))</f>
        <v>0.5638439048267728</v>
      </c>
      <c r="K14" s="4">
        <f>J14*(1/(1+K13))</f>
        <v>0.5264648971305068</v>
      </c>
      <c r="L14" s="4">
        <f>K14*(1/(1+L13))</f>
        <v>0.49202326834626803</v>
      </c>
    </row>
    <row r="15" spans="1:13" ht="26.25" customHeight="1">
      <c r="A15" s="1" t="s">
        <v>183</v>
      </c>
      <c r="C15" s="4">
        <f>C11*C14</f>
        <v>62.57666840570953</v>
      </c>
      <c r="D15" s="4">
        <f>D11*D14</f>
        <v>67.23095565613659</v>
      </c>
      <c r="E15" s="4">
        <f>E11*E14</f>
        <v>69.07418164481922</v>
      </c>
      <c r="F15" s="4">
        <f>F11*F14</f>
        <v>70.86073186388263</v>
      </c>
      <c r="G15" s="4">
        <f>G11*G14</f>
        <v>74.71692348904512</v>
      </c>
      <c r="H15" s="4">
        <f>H11*H14</f>
        <v>74.78868370499558</v>
      </c>
      <c r="I15" s="4">
        <f>I11*I14</f>
        <v>74.3829527053613</v>
      </c>
      <c r="J15" s="4">
        <f>J11*J14</f>
        <v>73.50499912260406</v>
      </c>
      <c r="K15" s="4">
        <f>K11*K14</f>
        <v>72.16904578550078</v>
      </c>
      <c r="L15" s="4">
        <f>L11*L14</f>
        <v>68.57532728518876</v>
      </c>
    </row>
    <row r="16" spans="1:13" ht="26.25" customHeight="1">
      <c r="A16" s="1" t="s">
        <v>184</v>
      </c>
      <c r="C16" s="4">
        <f>B17</f>
        <v>313.437</v>
      </c>
      <c r="D16" s="4">
        <f>C17</f>
        <v>333.6683295116697</v>
      </c>
      <c r="E16" s="4">
        <f>D17</f>
        <v>355.14478448497135</v>
      </c>
      <c r="F16" s="4">
        <f>E17</f>
        <v>377.94299544556117</v>
      </c>
      <c r="G16" s="4">
        <f>F17</f>
        <v>402.1443091004308</v>
      </c>
      <c r="H16" s="4">
        <f>G17</f>
        <v>424.78409758963403</v>
      </c>
      <c r="I16" s="4">
        <f>H17</f>
        <v>445.43531456580547</v>
      </c>
      <c r="J16" s="4">
        <f>I17</f>
        <v>463.68823407815705</v>
      </c>
      <c r="K16" s="4">
        <f>J17</f>
        <v>479.163495104382</v>
      </c>
      <c r="L16" s="4">
        <f>K17</f>
        <v>491.5248392319915</v>
      </c>
    </row>
    <row r="17" spans="1:12" ht="26.25" customHeight="1">
      <c r="A17" s="1" t="s">
        <v>185</v>
      </c>
      <c r="B17" s="4">
        <f>'WD40_Inputs_base'!B45+0</f>
        <v>313.437</v>
      </c>
      <c r="C17" s="4">
        <f>B17+C10</f>
        <v>333.6683295116697</v>
      </c>
      <c r="D17" s="4">
        <f>C17+D10</f>
        <v>355.14478448497135</v>
      </c>
      <c r="E17" s="4">
        <f>D17+E10</f>
        <v>377.94299544556117</v>
      </c>
      <c r="F17" s="4">
        <f>E17+F10</f>
        <v>402.1443091004308</v>
      </c>
      <c r="G17" s="4">
        <f>F17+G10</f>
        <v>424.78409758963403</v>
      </c>
      <c r="H17" s="4">
        <f>G17+H10</f>
        <v>445.43531456580547</v>
      </c>
      <c r="I17" s="4">
        <f>H17+I10</f>
        <v>463.68823407815705</v>
      </c>
      <c r="J17" s="4">
        <f>I17+J10</f>
        <v>479.163495104382</v>
      </c>
      <c r="K17" s="4">
        <f>J17+K10</f>
        <v>491.5248392319915</v>
      </c>
      <c r="L17" s="4">
        <f>K17+L10</f>
        <v>504.1952169627912</v>
      </c>
    </row>
    <row r="18" spans="1:12" ht="26.25" customHeight="1">
      <c r="A18" s="1" t="s">
        <v>186</v>
      </c>
      <c r="C18" s="4">
        <f>C9-(C13*B17)</f>
        <v>63.99347304780744</v>
      </c>
      <c r="D18" s="4">
        <f>D9-(D13*C17)</f>
        <v>74.14510339004929</v>
      </c>
      <c r="E18" s="4">
        <f>E9-(E13*D17)</f>
        <v>81.97299212475825</v>
      </c>
      <c r="F18" s="4">
        <f>F9-(F13*E17)</f>
        <v>90.48790968277046</v>
      </c>
      <c r="G18" s="4">
        <f>G9-(G13*F17)</f>
        <v>99.74477182888432</v>
      </c>
      <c r="H18" s="4">
        <f>H9-(H13*G17)</f>
        <v>104.53131458908149</v>
      </c>
      <c r="I18" s="4">
        <f>I9-(I13*H17)</f>
        <v>108.79694286932808</v>
      </c>
      <c r="J18" s="4">
        <f>J9-(J13*I17)</f>
        <v>112.4538009531814</v>
      </c>
      <c r="K18" s="4">
        <f>K9-(K13*J17)</f>
        <v>115.42308691418344</v>
      </c>
      <c r="L18" s="4">
        <f>L9-(L13*K17)</f>
        <v>117.63779402335808</v>
      </c>
    </row>
    <row r="19" spans="1:12" ht="26.25" customHeight="1">
      <c r="A19" s="1" t="s">
        <v>187</v>
      </c>
      <c r="C19" s="4">
        <f>C18*C14</f>
        <v>59.528812137495294</v>
      </c>
      <c r="D19" s="4">
        <f>D18*D14</f>
        <v>64.16017600004264</v>
      </c>
      <c r="E19" s="4">
        <f>E18*E14</f>
        <v>65.98502642515159</v>
      </c>
      <c r="F19" s="4">
        <f>F18*F14</f>
        <v>67.75739470881527</v>
      </c>
      <c r="G19" s="4">
        <f>G18*G14</f>
        <v>69.47808184920204</v>
      </c>
      <c r="H19" s="4">
        <f>H18*H14</f>
        <v>67.79533475598726</v>
      </c>
      <c r="I19" s="4">
        <f>I18*I14</f>
        <v>65.7612966039046</v>
      </c>
      <c r="J19" s="4">
        <f>J18*J14</f>
        <v>63.40639024205447</v>
      </c>
      <c r="K19" s="4">
        <f>K18*K14</f>
        <v>60.766203578761136</v>
      </c>
      <c r="L19" s="4">
        <f>L18*L14</f>
        <v>57.88053189641772</v>
      </c>
    </row>
    <row r="20" spans="1:12" ht="26.25" customHeight="1">
      <c r="A20" s="1" t="s">
        <v>188</v>
      </c>
      <c r="C20" s="4">
        <f>'WD40_Inputs_base'!B18+0</f>
        <v>2</v>
      </c>
      <c r="D20" s="4">
        <f>'WD40_Inputs_base'!B18+0</f>
        <v>2</v>
      </c>
      <c r="E20" s="4">
        <f>'WD40_Inputs_base'!B18+0</f>
        <v>2</v>
      </c>
      <c r="F20" s="4">
        <f>'WD40_Inputs_base'!B18+0</f>
        <v>2</v>
      </c>
      <c r="G20" s="4">
        <f>'WD40_Inputs_base'!B18+0</f>
        <v>2</v>
      </c>
      <c r="H20" s="4">
        <f>'WD40_Inputs_base'!B19+0</f>
        <v>2</v>
      </c>
      <c r="I20" s="4">
        <f>'WD40_Inputs_base'!B19+0</f>
        <v>2</v>
      </c>
      <c r="J20" s="4">
        <f>'WD40_Inputs_base'!B19+0</f>
        <v>2</v>
      </c>
      <c r="K20" s="4">
        <f>'WD40_Inputs_base'!B19+0</f>
        <v>2</v>
      </c>
      <c r="L20" s="4">
        <f>'WD40_Inputs_base'!B19+0</f>
        <v>2</v>
      </c>
    </row>
    <row r="21" spans="1:12" ht="26.25" customHeight="1">
      <c r="A21" s="1" t="s">
        <v>189</v>
      </c>
      <c r="B21" s="4">
        <f>M11/(M13-M3)</f>
        <v>3030.332007282949</v>
      </c>
    </row>
    <row r="22" spans="1:12" ht="26.25" customHeight="1">
      <c r="A22" s="1" t="s">
        <v>16</v>
      </c>
      <c r="B22" s="4">
        <f>B21*L14</f>
        <v>1490.9938583976634</v>
      </c>
    </row>
    <row r="23" spans="1:12" ht="26.25" customHeight="1">
      <c r="A23" s="1" t="s">
        <v>190</v>
      </c>
      <c r="B23" s="4">
        <f>SUM(C15:L15)</f>
        <v>707.8804696632436</v>
      </c>
    </row>
    <row r="24" spans="1:12" ht="26.25" customHeight="1">
      <c r="A24" s="1" t="s">
        <v>191</v>
      </c>
      <c r="B24" s="4">
        <f>B22+B23</f>
        <v>2198.874328060907</v>
      </c>
    </row>
    <row r="25" spans="1:12" ht="26.25" customHeight="1">
      <c r="A25" s="1" t="s">
        <v>192</v>
      </c>
      <c r="B25" s="4">
        <f>IF('WD40_Inputs_base'!B34+0=1,(('WD40_Inputs_base'!B4+0+'WD40_Inputs_base'!B5+0)*'WD40_Inputs_base'!B33+0),(B24*'WD40_Inputs_base'!B33+0))</f>
        <v>1099.4371640304535</v>
      </c>
    </row>
    <row r="26" spans="1:12" ht="26.25" customHeight="1">
      <c r="A26" s="1" t="s">
        <v>14</v>
      </c>
      <c r="B26" s="3">
        <f>(B24*(1-'WD40_Inputs_base'!B32+0))+(B25*'WD40_Inputs_base'!B32+0)</f>
        <v>2198.874328060907</v>
      </c>
    </row>
    <row r="27" spans="1:12" ht="26.25" customHeight="1">
      <c r="A27" s="1" t="s">
        <v>15</v>
      </c>
      <c r="B27" s="3">
        <f>B26-'WD40_Inputs_base'!B5+0-'WD40_Inputs_base'!B8+0+'WD40_Inputs_base'!B48+0+'WD40_Inputs_base'!B7+0</f>
        <v>2170.009328060907</v>
      </c>
    </row>
    <row r="28" spans="1:12" ht="26.25" customHeight="1">
      <c r="A28" s="1" t="s">
        <v>193</v>
      </c>
      <c r="B28" s="3">
        <f>IF('WD40_Inputs_base'!B21+0&gt;'WD40_Inputs_base'!B22+0,IF('WD40_Inputs_base'!B20+0&gt;0,IF('WD40_Inputs_base'!B9+0&gt;0,IF('WD40_Inputs_base'!B18+0&gt;0,IF('WD40_Inputs_base'!B19+0&gt;0,IF(IF('WD40_Inputs_base'!B23+0=1,IF('WD40_Inputs_base'!B24+0&gt;0,1,0),1)=1,IF(IF('WD40_Inputs_base'!B23+0=1,IF('WD40_Inputs_base'!B24+0&gt;='WD40_Inputs_base'!B22+0,1,0),1)=1,B27/'WD40_Inputs_base'!B9+0,"Blocked: terminal reinvestment exceeds NOPAT"),"Blocked: active terminal ROIC must be positive"),"Blocked: years 6-10 sales to capital must be positive"),"Blocked: years 1-5 sales to capital must be positive"),"Blocked: shares must be positive"),"Blocked: starting WACC must be positive"),"Blocked: terminal WACC must exceed growth")</f>
        <v>159.17020951337236</v>
      </c>
    </row>
    <row r="29" spans="1:12" ht="26.25" customHeight="1">
      <c r="A29" s="1" t="s">
        <v>17</v>
      </c>
      <c r="B29" s="5">
        <f>B22/B24</f>
        <v>0.678071429262857</v>
      </c>
    </row>
    <row r="30" spans="1:12" ht="26.25" customHeight="1">
      <c r="A30" s="1" t="s">
        <v>194</v>
      </c>
      <c r="B30" s="5">
        <f>IF(M3&gt;0,(M3/IF('WD40_Inputs_base'!B23+0=1,'WD40_Inputs_base'!B24+0,L13)),0)</f>
        <v>0.125</v>
      </c>
    </row>
    <row r="31" spans="1:12" ht="26.25" customHeight="1">
      <c r="A31" s="1" t="s">
        <v>195</v>
      </c>
      <c r="B31" s="4">
        <f>IF(M3&gt;0,((M9*(1-(M13/IF('WD40_Inputs_base'!B23+0=1,'WD40_Inputs_base'!B24+0,L13))))/(M13-M3)),(M9/(M13-M3)))</f>
        <v>2251.103776838762</v>
      </c>
    </row>
    <row r="32" spans="1:12" ht="26.25" customHeight="1">
      <c r="A32" s="1" t="s">
        <v>196</v>
      </c>
      <c r="B32" s="4">
        <f>IF(M3&gt;0,((M9/IF('WD40_Inputs_base'!B23+0=1,'WD40_Inputs_base'!B24+0,L13))-L17),(0-L17))</f>
        <v>275.0330134813957</v>
      </c>
    </row>
    <row r="33" spans="1:2" ht="26.25" customHeight="1">
      <c r="A33" s="1" t="s">
        <v>197</v>
      </c>
      <c r="B33" s="4">
        <f>B31+B32</f>
        <v>2526.1367903201576</v>
      </c>
    </row>
    <row r="34" spans="1:2" ht="26.25" customHeight="1">
      <c r="A34" s="1" t="s">
        <v>198</v>
      </c>
      <c r="B34" s="4">
        <f>B17+SUM(C19:L19)+(B33*L14)</f>
        <v>2198.874328060907</v>
      </c>
    </row>
    <row r="35" spans="1:2" ht="26.25" customHeight="1">
      <c r="A35" s="1" t="s">
        <v>20</v>
      </c>
      <c r="B35" s="3">
        <f>B34-B24</f>
        <v>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48"/>
  <sheetViews>
    <sheetView workbookViewId="0" showGridLines="0">
      <pane xSplit="1" ySplit="1" topLeftCell="B2" activePane="bottomRight" state="frozen"/>
      <selection pane="bottomRight" activeCell="B2" sqref="B2"/>
    </sheetView>
  </sheetViews>
  <sheetFormatPr defaultRowHeight="15"/>
  <cols>
    <col min="1" max="1" width="65.7109375" customWidth="1"/>
    <col min="2" max="2" width="30.7109375" customWidth="1"/>
  </cols>
  <sheetData>
    <row r="1" spans="1:2" ht="36" customHeight="1">
      <c r="A1" s="1" t="s">
        <v>204</v>
      </c>
      <c r="B1" s="2" t="s">
        <v>111</v>
      </c>
    </row>
    <row r="2" spans="1:2" ht="26.25" customHeight="1">
      <c r="A2" s="1" t="s">
        <v>112</v>
      </c>
      <c r="B2" s="6">
        <f>'WD40_Regions_bull'!E2+0</f>
        <v>619.985</v>
      </c>
    </row>
    <row r="3" spans="1:2" ht="26.25" customHeight="1">
      <c r="A3" s="1" t="s">
        <v>113</v>
      </c>
      <c r="B3" s="8">
        <v>103.793</v>
      </c>
    </row>
    <row r="4" spans="1:2" ht="26.25" customHeight="1">
      <c r="A4" s="1" t="s">
        <v>114</v>
      </c>
      <c r="B4" s="8">
        <v>268.472</v>
      </c>
    </row>
    <row r="5" spans="1:2" ht="26.25" customHeight="1">
      <c r="A5" s="1" t="s">
        <v>115</v>
      </c>
      <c r="B5" s="8">
        <v>86.995</v>
      </c>
    </row>
    <row r="6" spans="1:2" ht="26.25" customHeight="1">
      <c r="A6" s="1" t="s">
        <v>116</v>
      </c>
      <c r="B6" s="8">
        <v>58.13</v>
      </c>
    </row>
    <row r="7" spans="1:2" ht="26.25" customHeight="1">
      <c r="A7" s="1" t="s">
        <v>117</v>
      </c>
      <c r="B7" s="8">
        <v>0</v>
      </c>
    </row>
    <row r="8" spans="1:2" ht="26.25" customHeight="1">
      <c r="A8" s="1" t="s">
        <v>118</v>
      </c>
      <c r="B8" s="8">
        <v>0</v>
      </c>
    </row>
    <row r="9" spans="1:2" ht="26.25" customHeight="1">
      <c r="A9" s="1" t="s">
        <v>119</v>
      </c>
      <c r="B9" s="8">
        <v>13.633263</v>
      </c>
    </row>
    <row r="10" spans="1:2" ht="26.25" customHeight="1">
      <c r="A10" s="1" t="s">
        <v>120</v>
      </c>
      <c r="B10" s="8">
        <v>216.04</v>
      </c>
    </row>
    <row r="11" spans="1:2" ht="26.25" customHeight="1">
      <c r="A11" s="1" t="s">
        <v>121</v>
      </c>
      <c r="B11" s="9">
        <v>0.2220002755200441</v>
      </c>
    </row>
    <row r="12" spans="1:2" ht="26.25" customHeight="1">
      <c r="A12" s="1" t="s">
        <v>122</v>
      </c>
      <c r="B12" s="9">
        <v>0.25</v>
      </c>
    </row>
    <row r="13" spans="1:2" ht="26.25" customHeight="1">
      <c r="A13" s="1" t="s">
        <v>123</v>
      </c>
      <c r="B13" s="10">
        <f>'WD40_Regions_bull'!E47+0</f>
        <v>0.08193546618063352</v>
      </c>
    </row>
    <row r="14" spans="1:2" ht="26.25" customHeight="1">
      <c r="A14" s="1" t="s">
        <v>124</v>
      </c>
      <c r="B14" s="10">
        <f>'WD40_Regions_bull'!E48+0</f>
        <v>0.08333782024889125</v>
      </c>
    </row>
    <row r="15" spans="1:2" ht="26.25" customHeight="1">
      <c r="A15" s="1" t="s">
        <v>125</v>
      </c>
      <c r="B15" s="10">
        <f>B44/B2</f>
        <v>0.17106811723939558</v>
      </c>
    </row>
    <row r="16" spans="1:2" ht="26.25" customHeight="1">
      <c r="A16" s="1" t="s">
        <v>126</v>
      </c>
      <c r="B16" s="9">
        <v>0.22</v>
      </c>
    </row>
    <row r="17" spans="1:2" ht="26.25" customHeight="1">
      <c r="A17" s="1" t="s">
        <v>127</v>
      </c>
      <c r="B17" s="11">
        <v>5</v>
      </c>
    </row>
    <row r="18" spans="1:2" ht="26.25" customHeight="1">
      <c r="A18" s="1" t="s">
        <v>128</v>
      </c>
      <c r="B18" s="8">
        <v>2</v>
      </c>
    </row>
    <row r="19" spans="1:2" ht="26.25" customHeight="1">
      <c r="A19" s="1" t="s">
        <v>129</v>
      </c>
      <c r="B19" s="6">
        <f>B18+0</f>
        <v>2</v>
      </c>
    </row>
    <row r="20" spans="1:2" ht="26.25" customHeight="1">
      <c r="A20" s="1" t="s">
        <v>130</v>
      </c>
      <c r="B20" s="9">
        <v>0.065</v>
      </c>
    </row>
    <row r="21" spans="1:2" ht="26.25" customHeight="1">
      <c r="A21" s="1" t="s">
        <v>131</v>
      </c>
      <c r="B21" s="9">
        <v>0.065</v>
      </c>
    </row>
    <row r="22" spans="1:2" ht="26.25" customHeight="1">
      <c r="A22" s="1" t="s">
        <v>64</v>
      </c>
      <c r="B22" s="9">
        <v>0.03</v>
      </c>
    </row>
    <row r="23" spans="1:2" ht="26.25" customHeight="1">
      <c r="A23" s="1" t="s">
        <v>132</v>
      </c>
      <c r="B23" s="11">
        <v>1</v>
      </c>
    </row>
    <row r="24" spans="1:2" ht="26.25" customHeight="1">
      <c r="A24" s="1" t="s">
        <v>133</v>
      </c>
      <c r="B24" s="9">
        <v>0.25</v>
      </c>
    </row>
    <row r="25" spans="1:2" ht="26.25" customHeight="1">
      <c r="A25" s="1" t="s">
        <v>134</v>
      </c>
      <c r="B25" s="8">
        <v>8.699999999999999</v>
      </c>
    </row>
    <row r="26" spans="1:2" ht="26.25" customHeight="1">
      <c r="A26" s="1" t="s">
        <v>135</v>
      </c>
      <c r="B26" s="11">
        <v>3</v>
      </c>
    </row>
    <row r="27" spans="1:2" ht="26.25" customHeight="1">
      <c r="A27" s="1" t="s">
        <v>136</v>
      </c>
      <c r="B27" s="11">
        <v>1</v>
      </c>
    </row>
    <row r="28" spans="1:2" ht="26.25" customHeight="1">
      <c r="A28" s="1" t="s">
        <v>137</v>
      </c>
      <c r="B28" s="8">
        <v>0</v>
      </c>
    </row>
    <row r="29" spans="1:2" ht="26.25" customHeight="1">
      <c r="A29" s="1" t="s">
        <v>138</v>
      </c>
      <c r="B29" s="11">
        <v>0</v>
      </c>
    </row>
    <row r="30" spans="1:2" ht="26.25" customHeight="1">
      <c r="A30" s="1" t="s">
        <v>139</v>
      </c>
      <c r="B30" s="11">
        <v>0</v>
      </c>
    </row>
    <row r="31" spans="1:2" ht="26.25" customHeight="1">
      <c r="A31" s="1" t="s">
        <v>140</v>
      </c>
      <c r="B31" s="11">
        <v>1</v>
      </c>
    </row>
    <row r="32" spans="1:2" ht="26.25" customHeight="1">
      <c r="A32" s="1" t="s">
        <v>141</v>
      </c>
      <c r="B32" s="9">
        <v>0</v>
      </c>
    </row>
    <row r="33" spans="1:2" ht="26.25" customHeight="1">
      <c r="A33" s="1" t="s">
        <v>142</v>
      </c>
      <c r="B33" s="9">
        <v>0.5</v>
      </c>
    </row>
    <row r="34" spans="1:2" ht="26.25" customHeight="1">
      <c r="A34" s="1" t="s">
        <v>143</v>
      </c>
      <c r="B34" s="11">
        <v>0</v>
      </c>
    </row>
    <row r="35" spans="1:2" ht="26.25" customHeight="1">
      <c r="A35" s="1" t="s">
        <v>144</v>
      </c>
      <c r="B35" s="8">
        <v>0</v>
      </c>
    </row>
    <row r="36" spans="1:2" ht="26.25" customHeight="1">
      <c r="A36" s="1" t="s">
        <v>145</v>
      </c>
      <c r="B36" s="9">
        <v>0</v>
      </c>
    </row>
    <row r="37" spans="1:2" ht="26.25" customHeight="1">
      <c r="A37" s="1" t="s">
        <v>146</v>
      </c>
      <c r="B37" s="11">
        <v>0</v>
      </c>
    </row>
    <row r="38" spans="1:2" ht="26.25" customHeight="1">
      <c r="A38" s="1" t="s">
        <v>147</v>
      </c>
      <c r="B38" s="8">
        <v>8</v>
      </c>
    </row>
    <row r="39" spans="1:2" ht="26.25" customHeight="1">
      <c r="A39" s="1" t="s">
        <v>148</v>
      </c>
      <c r="B39" s="8">
        <v>6.2</v>
      </c>
    </row>
    <row r="40" spans="1:2" ht="26.25" customHeight="1">
      <c r="A40" s="1" t="s">
        <v>149</v>
      </c>
      <c r="B40" s="8">
        <v>5.1</v>
      </c>
    </row>
    <row r="41" spans="1:2" ht="26.25" customHeight="1">
      <c r="A41" s="1" t="s">
        <v>150</v>
      </c>
      <c r="B41" s="8">
        <v>5.6</v>
      </c>
    </row>
    <row r="42" spans="1:2" ht="26.25" customHeight="1">
      <c r="A42" s="1" t="s">
        <v>151</v>
      </c>
      <c r="B42" s="6">
        <f>0+IF(1&lt;=B26,(B38/B26),0)+IF(2&lt;=B26,(B39/B26),0)+IF(3&lt;=B26,(B40/B26),0)+IF(4&lt;=B26,(B41/B26),0)</f>
        <v>6.433333333333334</v>
      </c>
    </row>
    <row r="43" spans="1:2" ht="26.25" customHeight="1">
      <c r="A43" s="1" t="s">
        <v>152</v>
      </c>
      <c r="B43" s="6">
        <f>B25+IF(1&lt;B26,(B38*((B26-1)/B26)),0)+IF(2&lt;B26,(B39*((B26-2)/B26)),0)+IF(3&lt;B26,(B40*((B26-3)/B26)),0)+IF(4&lt;B26,(B41*((B26-4)/B26)),0)</f>
        <v>16.099999999999998</v>
      </c>
    </row>
    <row r="44" spans="1:2" ht="26.25" customHeight="1">
      <c r="A44" s="1" t="s">
        <v>153</v>
      </c>
      <c r="B44" s="6">
        <f>B3+IF(B27=1,(B25-B42),0)</f>
        <v>106.05966666666667</v>
      </c>
    </row>
    <row r="45" spans="1:2" ht="26.25" customHeight="1">
      <c r="A45" s="1" t="s">
        <v>154</v>
      </c>
      <c r="B45" s="6">
        <f>B4+B5-B6+IF(B27=1,B43,0)</f>
        <v>313.437</v>
      </c>
    </row>
    <row r="46" spans="1:2" ht="26.25" customHeight="1">
      <c r="A46" s="1" t="s">
        <v>155</v>
      </c>
      <c r="B46" s="10">
        <f>IF(B29=1,B11,B12)</f>
        <v>0.25</v>
      </c>
    </row>
    <row r="47" spans="1:2" ht="26.25" customHeight="1">
      <c r="A47" s="1" t="s">
        <v>156</v>
      </c>
      <c r="B47" s="10">
        <f>IF(B23=1,B24,B21)</f>
        <v>0.25</v>
      </c>
    </row>
    <row r="48" spans="1:2" ht="26.25" customHeight="1">
      <c r="A48" s="1" t="s">
        <v>157</v>
      </c>
      <c r="B48" s="6">
        <f>B6-IF(B37=1,(B35*(B12-B36)),0)</f>
        <v>58.13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M35"/>
  <sheetViews>
    <sheetView workbookViewId="0" showGridLines="0">
      <pane xSplit="1" ySplit="1" topLeftCell="B2" activePane="bottomRight" state="frozen"/>
      <selection pane="bottomRight" activeCell="B2" sqref="B2"/>
    </sheetView>
  </sheetViews>
  <sheetFormatPr defaultRowHeight="15"/>
  <cols>
    <col min="1" max="1" width="58.7109375" customWidth="1"/>
    <col min="2" max="13" width="22.7109375" customWidth="1"/>
  </cols>
  <sheetData>
    <row r="1" spans="1:13" ht="36" customHeight="1">
      <c r="A1" s="1" t="s">
        <v>205</v>
      </c>
      <c r="B1" s="2" t="s">
        <v>11</v>
      </c>
      <c r="C1" s="2" t="s">
        <v>159</v>
      </c>
      <c r="D1" s="2" t="s">
        <v>160</v>
      </c>
      <c r="E1" s="2" t="s">
        <v>161</v>
      </c>
      <c r="F1" s="2" t="s">
        <v>162</v>
      </c>
      <c r="G1" s="2" t="s">
        <v>163</v>
      </c>
      <c r="H1" s="2" t="s">
        <v>164</v>
      </c>
      <c r="I1" s="2" t="s">
        <v>165</v>
      </c>
      <c r="J1" s="2" t="s">
        <v>166</v>
      </c>
      <c r="K1" s="2" t="s">
        <v>167</v>
      </c>
      <c r="L1" s="2" t="s">
        <v>168</v>
      </c>
      <c r="M1" s="2" t="s">
        <v>169</v>
      </c>
    </row>
    <row r="2" spans="1:13" ht="26.25" customHeight="1">
      <c r="A2" s="1" t="s">
        <v>170</v>
      </c>
      <c r="B2" s="12">
        <v>0</v>
      </c>
      <c r="C2" s="12">
        <v>1</v>
      </c>
      <c r="D2" s="12">
        <v>2</v>
      </c>
      <c r="E2" s="12">
        <v>3</v>
      </c>
      <c r="F2" s="12">
        <v>4</v>
      </c>
      <c r="G2" s="12">
        <v>5</v>
      </c>
      <c r="H2" s="12">
        <v>6</v>
      </c>
      <c r="I2" s="12">
        <v>7</v>
      </c>
      <c r="J2" s="12">
        <v>8</v>
      </c>
      <c r="K2" s="12">
        <v>9</v>
      </c>
      <c r="L2" s="12">
        <v>10</v>
      </c>
      <c r="M2" s="12">
        <v>11</v>
      </c>
    </row>
    <row r="3" spans="1:13" ht="26.25" customHeight="1">
      <c r="A3" s="1" t="s">
        <v>171</v>
      </c>
      <c r="C3" s="5">
        <f>'WD40_Inputs_bull'!B13+0</f>
        <v>0.08193546618063352</v>
      </c>
      <c r="D3" s="5">
        <f>'WD40_Inputs_bull'!B14+0</f>
        <v>0.08333782024889125</v>
      </c>
      <c r="E3" s="5">
        <f>'WD40_Inputs_bull'!B14+0</f>
        <v>0.08333782024889125</v>
      </c>
      <c r="F3" s="5">
        <f>'WD40_Inputs_bull'!B14+0</f>
        <v>0.08333782024889125</v>
      </c>
      <c r="G3" s="5">
        <f>'WD40_Inputs_bull'!B14+0</f>
        <v>0.08333782024889125</v>
      </c>
      <c r="H3" s="5">
        <f>'WD40_Inputs_bull'!B14+0-((('WD40_Inputs_bull'!B14+0-'WD40_Inputs_bull'!B22+0)/5)*1)</f>
        <v>0.07267025619911299</v>
      </c>
      <c r="I3" s="5">
        <f>'WD40_Inputs_bull'!B14+0-((('WD40_Inputs_bull'!B14+0-'WD40_Inputs_bull'!B22+0)/5)*2)</f>
        <v>0.06200269214933475</v>
      </c>
      <c r="J3" s="5">
        <f>'WD40_Inputs_bull'!B14+0-((('WD40_Inputs_bull'!B14+0-'WD40_Inputs_bull'!B22+0)/5)*3)</f>
        <v>0.051335128099556496</v>
      </c>
      <c r="K3" s="5">
        <f>'WD40_Inputs_bull'!B14+0-((('WD40_Inputs_bull'!B14+0-'WD40_Inputs_bull'!B22+0)/5)*4)</f>
        <v>0.04066756404977825</v>
      </c>
      <c r="L3" s="5">
        <f>'WD40_Inputs_bull'!B14+0-((('WD40_Inputs_bull'!B14+0-'WD40_Inputs_bull'!B22+0)/5)*5)</f>
        <v>0.03</v>
      </c>
      <c r="M3" s="5">
        <f>'WD40_Inputs_bull'!B22+0</f>
        <v>0.03</v>
      </c>
    </row>
    <row r="4" spans="1:13" ht="26.25" customHeight="1">
      <c r="A4" s="1" t="s">
        <v>172</v>
      </c>
      <c r="B4" s="4">
        <f>'WD40_Inputs_bull'!B2+0</f>
        <v>619.985</v>
      </c>
      <c r="C4" s="4">
        <f>B4*(1+C3)</f>
        <v>670.7837600000001</v>
      </c>
      <c r="D4" s="4">
        <f>C4*(1+D3)</f>
        <v>726.6854164167555</v>
      </c>
      <c r="E4" s="4">
        <f>D4*(1+E3)</f>
        <v>787.2457950275858</v>
      </c>
      <c r="F4" s="4">
        <f>E4*(1+F3)</f>
        <v>852.8531435852902</v>
      </c>
      <c r="G4" s="4">
        <f>F4*(1+G3)</f>
        <v>923.928065564103</v>
      </c>
      <c r="H4" s="4">
        <f>G4*(1+H3)</f>
        <v>991.0701547981973</v>
      </c>
      <c r="I4" s="4">
        <f>H4*(1+I3)</f>
        <v>1052.5191725045436</v>
      </c>
      <c r="J4" s="4">
        <f>I4*(1+J3)</f>
        <v>1106.5503790523035</v>
      </c>
      <c r="K4" s="4">
        <f>J4*(1+K3)</f>
        <v>1151.5510874667193</v>
      </c>
      <c r="L4" s="4">
        <f>K4*(1+L3)</f>
        <v>1186.097620090721</v>
      </c>
      <c r="M4" s="4">
        <f>L4*(1+M3)</f>
        <v>1221.6805486934427</v>
      </c>
    </row>
    <row r="5" spans="1:13" ht="26.25" customHeight="1">
      <c r="A5" s="1" t="s">
        <v>173</v>
      </c>
      <c r="B5" s="5">
        <f>B6/B4</f>
        <v>0.17106811723939558</v>
      </c>
      <c r="C5" s="5">
        <f>'WD40_Inputs_bull'!B15+0</f>
        <v>0.17106811723939558</v>
      </c>
      <c r="D5" s="5">
        <f>IF(2&gt;'WD40_Inputs_bull'!B17+0,'WD40_Inputs_bull'!B16+0,'WD40_Inputs_bull'!B16+0-((('WD40_Inputs_bull'!B16+0-'WD40_Inputs_bull'!B15+0)/'WD40_Inputs_bull'!B17+0)*('WD40_Inputs_bull'!B17+0-2)))</f>
        <v>0.19064087034363736</v>
      </c>
      <c r="E5" s="5">
        <f>IF(3&gt;'WD40_Inputs_bull'!B17+0,'WD40_Inputs_bull'!B16+0,'WD40_Inputs_bull'!B16+0-((('WD40_Inputs_bull'!B16+0-'WD40_Inputs_bull'!B15+0)/'WD40_Inputs_bull'!B17+0)*('WD40_Inputs_bull'!B17+0-3)))</f>
        <v>0.20042724689575822</v>
      </c>
      <c r="F5" s="5">
        <f>IF(4&gt;'WD40_Inputs_bull'!B17+0,'WD40_Inputs_bull'!B16+0,'WD40_Inputs_bull'!B16+0-((('WD40_Inputs_bull'!B16+0-'WD40_Inputs_bull'!B15+0)/'WD40_Inputs_bull'!B17+0)*('WD40_Inputs_bull'!B17+0-4)))</f>
        <v>0.2102136234478791</v>
      </c>
      <c r="G5" s="5">
        <f>IF(5&gt;'WD40_Inputs_bull'!B17+0,'WD40_Inputs_bull'!B16+0,'WD40_Inputs_bull'!B16+0-((('WD40_Inputs_bull'!B16+0-'WD40_Inputs_bull'!B15+0)/'WD40_Inputs_bull'!B17+0)*('WD40_Inputs_bull'!B17+0-5)))</f>
        <v>0.22</v>
      </c>
      <c r="H5" s="5">
        <f>IF(6&gt;'WD40_Inputs_bull'!B17+0,'WD40_Inputs_bull'!B16+0,'WD40_Inputs_bull'!B16+0-((('WD40_Inputs_bull'!B16+0-'WD40_Inputs_bull'!B15+0)/'WD40_Inputs_bull'!B17+0)*('WD40_Inputs_bull'!B17+0-6)))</f>
        <v>0.22</v>
      </c>
      <c r="I5" s="5">
        <f>IF(7&gt;'WD40_Inputs_bull'!B17+0,'WD40_Inputs_bull'!B16+0,'WD40_Inputs_bull'!B16+0-((('WD40_Inputs_bull'!B16+0-'WD40_Inputs_bull'!B15+0)/'WD40_Inputs_bull'!B17+0)*('WD40_Inputs_bull'!B17+0-7)))</f>
        <v>0.22</v>
      </c>
      <c r="J5" s="5">
        <f>IF(8&gt;'WD40_Inputs_bull'!B17+0,'WD40_Inputs_bull'!B16+0,'WD40_Inputs_bull'!B16+0-((('WD40_Inputs_bull'!B16+0-'WD40_Inputs_bull'!B15+0)/'WD40_Inputs_bull'!B17+0)*('WD40_Inputs_bull'!B17+0-8)))</f>
        <v>0.22</v>
      </c>
      <c r="K5" s="5">
        <f>IF(9&gt;'WD40_Inputs_bull'!B17+0,'WD40_Inputs_bull'!B16+0,'WD40_Inputs_bull'!B16+0-((('WD40_Inputs_bull'!B16+0-'WD40_Inputs_bull'!B15+0)/'WD40_Inputs_bull'!B17+0)*('WD40_Inputs_bull'!B17+0-9)))</f>
        <v>0.22</v>
      </c>
      <c r="L5" s="5">
        <f>IF(10&gt;'WD40_Inputs_bull'!B17+0,'WD40_Inputs_bull'!B16+0,'WD40_Inputs_bull'!B16+0-((('WD40_Inputs_bull'!B16+0-'WD40_Inputs_bull'!B15+0)/'WD40_Inputs_bull'!B17+0)*('WD40_Inputs_bull'!B17+0-10)))</f>
        <v>0.22</v>
      </c>
      <c r="M5" s="5">
        <f>L5</f>
        <v>0.22</v>
      </c>
    </row>
    <row r="6" spans="1:13" ht="26.25" customHeight="1">
      <c r="A6" s="1" t="s">
        <v>174</v>
      </c>
      <c r="B6" s="4">
        <f>'WD40_Inputs_bull'!B44+0</f>
        <v>106.05966666666667</v>
      </c>
      <c r="C6" s="4">
        <f>C5*C4</f>
        <v>114.7497148979626</v>
      </c>
      <c r="D6" s="4">
        <f>D5*D4</f>
        <v>138.5359402517188</v>
      </c>
      <c r="E6" s="4">
        <f>E5*E4</f>
        <v>157.7855073276414</v>
      </c>
      <c r="F6" s="4">
        <f>F5*F4</f>
        <v>179.2813495819782</v>
      </c>
      <c r="G6" s="4">
        <f>G5*G4</f>
        <v>203.26417442410266</v>
      </c>
      <c r="H6" s="4">
        <f>H5*H4</f>
        <v>218.03543405560342</v>
      </c>
      <c r="I6" s="4">
        <f>I5*I4</f>
        <v>231.5542179509996</v>
      </c>
      <c r="J6" s="4">
        <f>J5*J4</f>
        <v>243.44108339150677</v>
      </c>
      <c r="K6" s="4">
        <f>K5*K4</f>
        <v>253.34123924267826</v>
      </c>
      <c r="L6" s="4">
        <f>L5*L4</f>
        <v>260.94147641995863</v>
      </c>
      <c r="M6" s="4">
        <f>L5*M4</f>
        <v>268.7697207125574</v>
      </c>
    </row>
    <row r="7" spans="1:13" ht="26.25" customHeight="1">
      <c r="A7" s="1" t="s">
        <v>175</v>
      </c>
      <c r="B7" s="5">
        <f>'WD40_Inputs_bull'!B11+0</f>
        <v>0.22200027552004406</v>
      </c>
      <c r="C7" s="5">
        <f>'WD40_Inputs_bull'!B11+0</f>
        <v>0.22200027552004406</v>
      </c>
      <c r="D7" s="5">
        <f>'WD40_Inputs_bull'!B11+0</f>
        <v>0.22200027552004406</v>
      </c>
      <c r="E7" s="5">
        <f>'WD40_Inputs_bull'!B11+0</f>
        <v>0.22200027552004406</v>
      </c>
      <c r="F7" s="5">
        <f>'WD40_Inputs_bull'!B11+0</f>
        <v>0.22200027552004406</v>
      </c>
      <c r="G7" s="5">
        <f>'WD40_Inputs_bull'!B11+0</f>
        <v>0.22200027552004406</v>
      </c>
      <c r="H7" s="5">
        <f>G7+(('WD40_Inputs_bull'!B46+0-'WD40_Inputs_bull'!B11+0)/5)</f>
        <v>0.22760022041603525</v>
      </c>
      <c r="I7" s="5">
        <f>H7+(('WD40_Inputs_bull'!B46+0-'WD40_Inputs_bull'!B11+0)/5)</f>
        <v>0.23320016531202645</v>
      </c>
      <c r="J7" s="5">
        <f>I7+(('WD40_Inputs_bull'!B46+0-'WD40_Inputs_bull'!B11+0)/5)</f>
        <v>0.23880011020801764</v>
      </c>
      <c r="K7" s="5">
        <f>J7+(('WD40_Inputs_bull'!B46+0-'WD40_Inputs_bull'!B11+0)/5)</f>
        <v>0.24440005510400883</v>
      </c>
      <c r="L7" s="5">
        <f>K7+(('WD40_Inputs_bull'!B46+0-'WD40_Inputs_bull'!B11+0)/5)</f>
        <v>0.25</v>
      </c>
      <c r="M7" s="5">
        <f>'WD40_Inputs_bull'!B46+0</f>
        <v>0.25</v>
      </c>
    </row>
    <row r="8" spans="1:13" ht="26.25" customHeight="1">
      <c r="A8" s="1" t="s">
        <v>176</v>
      </c>
      <c r="C8" s="4">
        <f>B12</f>
        <v>0.0</v>
      </c>
      <c r="D8" s="4">
        <f>C12</f>
        <v>0</v>
      </c>
      <c r="E8" s="4">
        <f>D12</f>
        <v>0</v>
      </c>
      <c r="F8" s="4">
        <f>E12</f>
        <v>0</v>
      </c>
      <c r="G8" s="4">
        <f>F12</f>
        <v>0</v>
      </c>
      <c r="H8" s="4">
        <f>G12</f>
        <v>0</v>
      </c>
      <c r="I8" s="4">
        <f>H12</f>
        <v>0</v>
      </c>
      <c r="J8" s="4">
        <f>I12</f>
        <v>0</v>
      </c>
      <c r="K8" s="4">
        <f>J12</f>
        <v>0</v>
      </c>
      <c r="L8" s="4">
        <f>K12</f>
        <v>0</v>
      </c>
      <c r="M8" s="4">
        <f>L12</f>
        <v>0</v>
      </c>
    </row>
    <row r="9" spans="1:13" ht="26.25" customHeight="1">
      <c r="A9" s="1" t="s">
        <v>177</v>
      </c>
      <c r="B9" s="4">
        <f>IF(B6&gt;0,(B6*(1-B7)),B6)</f>
        <v>82.51439144510263</v>
      </c>
      <c r="C9" s="4">
        <f>IF(C6&gt;0,IF(C6&lt;B12,C6,C6-((C6-B12)*C7)),C6)</f>
        <v>89.2752465747684</v>
      </c>
      <c r="D9" s="4">
        <f>IF(D6&gt;0,IF(D6&lt;C12,D6,D6-((D6-C12)*D7)),D6)</f>
        <v>107.78092334640887</v>
      </c>
      <c r="E9" s="4">
        <f>IF(E6&gt;0,IF(E6&lt;D12,E6,E6-((E6-D12)*E7)),E6)</f>
        <v>122.75708122783507</v>
      </c>
      <c r="F9" s="4">
        <f>IF(F6&gt;0,IF(F6&lt;E12,F6,F6-((F6-E12)*F7)),F6)</f>
        <v>139.4808405791737</v>
      </c>
      <c r="G9" s="4">
        <f>IF(G6&gt;0,IF(G6&lt;F12,G6,G6-((G6-F12)*G7)),G6)</f>
        <v>158.1394716985976</v>
      </c>
      <c r="H9" s="4">
        <f>IF(H6&gt;0,IF(H6&lt;G12,H6,H6-((H6-G12)*H7)),H6)</f>
        <v>168.41052120604218</v>
      </c>
      <c r="I9" s="4">
        <f>IF(I6&gt;0,IF(I6&lt;H12,I6,I6-((I6-H12)*I7)),I6)</f>
        <v>177.55573604612948</v>
      </c>
      <c r="J9" s="4">
        <f>IF(J6&gt;0,IF(J6&lt;I12,J6,J6-((J6-I12)*J7)),J6)</f>
        <v>185.30732584845575</v>
      </c>
      <c r="K9" s="4">
        <f>IF(K6&gt;0,IF(K6&lt;J12,K6,K6-((K6-J12)*K7)),K6)</f>
        <v>191.4246264116498</v>
      </c>
      <c r="L9" s="4">
        <f>IF(L6&gt;0,IF(L6&lt;K12,L6,L6-((L6-K12)*L7)),L6)</f>
        <v>195.70610731496896</v>
      </c>
      <c r="M9" s="4">
        <f>M6*(1-M7)</f>
        <v>201.57729053441804</v>
      </c>
    </row>
    <row r="10" spans="1:13" ht="26.25" customHeight="1">
      <c r="A10" s="1" t="s">
        <v>178</v>
      </c>
      <c r="C10" s="4">
        <f>IF('WD40_Inputs_bull'!B30+0=1,IF('WD40_Inputs_bull'!B31+0=0,((C4-B4)/C20),IF('WD40_Inputs_bull'!B31+0=2,((E4-D4)/C20),IF('WD40_Inputs_bull'!B31+0=3,((F4-E4)/C20),((D4-C4)/C20)))),((D4-C4)/C20))</f>
        <v>27.950828208377686</v>
      </c>
      <c r="D10" s="4">
        <f>IF('WD40_Inputs_bull'!B30+0=1,IF('WD40_Inputs_bull'!B31+0=0,((D4-C4)/D20),IF('WD40_Inputs_bull'!B31+0=2,((F4-E4)/D20),IF('WD40_Inputs_bull'!B31+0=3,((G4-F4)/D20),((E4-D4)/D20)))),((E4-D4)/D20))</f>
        <v>30.28018930541515</v>
      </c>
      <c r="E10" s="4">
        <f>IF('WD40_Inputs_bull'!B30+0=1,IF('WD40_Inputs_bull'!B31+0=0,((E4-D4)/E20),IF('WD40_Inputs_bull'!B31+0=2,((G4-F4)/E20),IF('WD40_Inputs_bull'!B31+0=3,((H4-G4)/E20),((F4-E4)/E20)))),((F4-E4)/E20))</f>
        <v>32.80367427885221</v>
      </c>
      <c r="F10" s="4">
        <f>IF('WD40_Inputs_bull'!B30+0=1,IF('WD40_Inputs_bull'!B31+0=0,((F4-E4)/F20),IF('WD40_Inputs_bull'!B31+0=2,((H4-G4)/F20),IF('WD40_Inputs_bull'!B31+0=3,((I4-H4)/F20),((G4-F4)/F20)))),((G4-F4)/F20))</f>
        <v>35.537460989406384</v>
      </c>
      <c r="G10" s="4">
        <f>IF('WD40_Inputs_bull'!B30+0=1,IF('WD40_Inputs_bull'!B31+0=0,((G4-F4)/G20),IF('WD40_Inputs_bull'!B31+0=2,((I4-H4)/G20),IF('WD40_Inputs_bull'!B31+0=3,((J4-I4)/G20),((H4-G4)/G20)))),((H4-G4)/G20))</f>
        <v>33.571044617047164</v>
      </c>
      <c r="H10" s="4">
        <f>IF('WD40_Inputs_bull'!B30+0=1,IF('WD40_Inputs_bull'!B31+0=0,((H4-G4)/H20),IF('WD40_Inputs_bull'!B31+0=2,((J4-I4)/H20),IF('WD40_Inputs_bull'!B31+0=3,((K4-J4)/H20),((I4-H4)/H20)))),((I4-H4)/H20))</f>
        <v>30.72450885317312</v>
      </c>
      <c r="I10" s="4">
        <f>IF('WD40_Inputs_bull'!B30+0=1,IF('WD40_Inputs_bull'!B31+0=0,((I4-H4)/I20),IF('WD40_Inputs_bull'!B31+0=2,((K4-J4)/I20),IF('WD40_Inputs_bull'!B31+0=3,((L4-K4)/I20),((J4-I4)/I20)))),((J4-I4)/I20))</f>
        <v>27.015603273879947</v>
      </c>
      <c r="J10" s="4">
        <f>IF('WD40_Inputs_bull'!B30+0=1,IF('WD40_Inputs_bull'!B31+0=0,((J4-I4)/J20),IF('WD40_Inputs_bull'!B31+0=2,((L4-K4)/J20),IF('WD40_Inputs_bull'!B31+0=3,((M4-L4)/J20),((K4-J4)/J20)))),((K4-J4)/J20))</f>
        <v>22.50035420720792</v>
      </c>
      <c r="K10" s="4">
        <f>IF('WD40_Inputs_bull'!B30+0=1,IF('WD40_Inputs_bull'!B31+0=0,((K4-J4)/K20),IF('WD40_Inputs_bull'!B31+0=2,((M4-L4)/K20),IF('WD40_Inputs_bull'!B31+0=3,((M4*M3)/K20),((L4-K4)/K20)))),((L4-K4)/K20))</f>
        <v>17.27326631200083</v>
      </c>
      <c r="L10" s="4">
        <f>IF('WD40_Inputs_bull'!B30+0=1,IF('WD40_Inputs_bull'!B31+0=0,((L4-K4)/L20),IF('WD40_Inputs_bull'!B31+0=2,((M4*M3)/L20),IF('WD40_Inputs_bull'!B31+0=3,((K10*(1+M3)*L20)/L20),((M4-L4)/L20)))),((M4-L4)/L20))</f>
        <v>17.79146430136086</v>
      </c>
      <c r="M10" s="4">
        <f>B30*M9</f>
        <v>24.189274864130162</v>
      </c>
    </row>
    <row r="11" spans="1:13" ht="26.25" customHeight="1">
      <c r="A11" s="1" t="s">
        <v>179</v>
      </c>
      <c r="C11" s="4">
        <f>C9-C10</f>
        <v>61.32441836639072</v>
      </c>
      <c r="D11" s="4">
        <f>D9-D10</f>
        <v>77.50073404099372</v>
      </c>
      <c r="E11" s="4">
        <f>E9-E10</f>
        <v>89.95340694898286</v>
      </c>
      <c r="F11" s="4">
        <f>F9-F10</f>
        <v>103.94337958976732</v>
      </c>
      <c r="G11" s="4">
        <f>G9-G10</f>
        <v>124.56842708155042</v>
      </c>
      <c r="H11" s="4">
        <f>H9-H10</f>
        <v>137.68601235286906</v>
      </c>
      <c r="I11" s="4">
        <f>I9-I10</f>
        <v>150.54013277224954</v>
      </c>
      <c r="J11" s="4">
        <f>J9-J10</f>
        <v>162.80697164124783</v>
      </c>
      <c r="K11" s="4">
        <f>K9-K10</f>
        <v>174.15136009964897</v>
      </c>
      <c r="L11" s="4">
        <f>L9-L10</f>
        <v>177.9146430136081</v>
      </c>
      <c r="M11" s="4">
        <f>M9-M10</f>
        <v>177.38801567028787</v>
      </c>
    </row>
    <row r="12" spans="1:13" ht="26.25" customHeight="1">
      <c r="A12" s="1" t="s">
        <v>180</v>
      </c>
      <c r="B12" s="4">
        <f>'WD40_Inputs_bull'!B28+0</f>
        <v>0.0</v>
      </c>
      <c r="C12" s="4">
        <f>IF(C6&lt;0,(B12-C6),IF(B12&gt;C6,(B12-C6),0))</f>
        <v>0</v>
      </c>
      <c r="D12" s="4">
        <f>IF(D6&lt;0,(C12-D6),IF(C12&gt;D6,(C12-D6),0))</f>
        <v>0</v>
      </c>
      <c r="E12" s="4">
        <f>IF(E6&lt;0,(D12-E6),IF(D12&gt;E6,(D12-E6),0))</f>
        <v>0</v>
      </c>
      <c r="F12" s="4">
        <f>IF(F6&lt;0,(E12-F6),IF(E12&gt;F6,(E12-F6),0))</f>
        <v>0</v>
      </c>
      <c r="G12" s="4">
        <f>IF(G6&lt;0,(F12-G6),IF(F12&gt;G6,(F12-G6),0))</f>
        <v>0</v>
      </c>
      <c r="H12" s="4">
        <f>IF(H6&lt;0,(G12-H6),IF(G12&gt;H6,(G12-H6),0))</f>
        <v>0</v>
      </c>
      <c r="I12" s="4">
        <f>IF(I6&lt;0,(H12-I6),IF(H12&gt;I6,(H12-I6),0))</f>
        <v>0</v>
      </c>
      <c r="J12" s="4">
        <f>IF(J6&lt;0,(I12-J6),IF(I12&gt;J6,(I12-J6),0))</f>
        <v>0</v>
      </c>
      <c r="K12" s="4">
        <f>IF(K6&lt;0,(J12-K6),IF(J12&gt;K6,(J12-K6),0))</f>
        <v>0</v>
      </c>
      <c r="L12" s="4">
        <f>IF(L6&lt;0,(K12-L6),IF(K12&gt;L6,(K12-L6),0))</f>
        <v>0</v>
      </c>
      <c r="M12" s="4">
        <f>IF(M6&lt;0,(L12-M6),IF(L12&gt;M6,(L12-M6),0))</f>
        <v>0</v>
      </c>
    </row>
    <row r="13" spans="1:13" ht="26.25" customHeight="1">
      <c r="A13" s="1" t="s">
        <v>181</v>
      </c>
      <c r="C13" s="5">
        <f>'WD40_Inputs_bull'!B20+0</f>
        <v>0.065</v>
      </c>
      <c r="D13" s="5">
        <f>'WD40_Inputs_bull'!B20+0</f>
        <v>0.065</v>
      </c>
      <c r="E13" s="5">
        <f>'WD40_Inputs_bull'!B20+0</f>
        <v>0.065</v>
      </c>
      <c r="F13" s="5">
        <f>'WD40_Inputs_bull'!B20+0</f>
        <v>0.065</v>
      </c>
      <c r="G13" s="5">
        <f>'WD40_Inputs_bull'!B20+0</f>
        <v>0.065</v>
      </c>
      <c r="H13" s="5">
        <f>G13-(('WD40_Inputs_bull'!B20+0-'WD40_Inputs_bull'!B21+0)/5)</f>
        <v>0.065</v>
      </c>
      <c r="I13" s="5">
        <f>H13-(('WD40_Inputs_bull'!B20+0-'WD40_Inputs_bull'!B21+0)/5)</f>
        <v>0.065</v>
      </c>
      <c r="J13" s="5">
        <f>I13-(('WD40_Inputs_bull'!B20+0-'WD40_Inputs_bull'!B21+0)/5)</f>
        <v>0.065</v>
      </c>
      <c r="K13" s="5">
        <f>J13-(('WD40_Inputs_bull'!B20+0-'WD40_Inputs_bull'!B21+0)/5)</f>
        <v>0.065</v>
      </c>
      <c r="L13" s="5">
        <f>K13-(('WD40_Inputs_bull'!B20+0-'WD40_Inputs_bull'!B21+0)/5)</f>
        <v>0.065</v>
      </c>
      <c r="M13" s="5">
        <f>'WD40_Inputs_bull'!B21+0</f>
        <v>0.065</v>
      </c>
    </row>
    <row r="14" spans="1:13" ht="26.25" customHeight="1">
      <c r="A14" s="1" t="s">
        <v>182</v>
      </c>
      <c r="C14" s="4">
        <f>1*(1/(1+C13))</f>
        <v>0.9389671361502347</v>
      </c>
      <c r="D14" s="4">
        <f>C14*(1/(1+D13))</f>
        <v>0.8816592827701735</v>
      </c>
      <c r="E14" s="4">
        <f>D14*(1/(1+E13))</f>
        <v>0.8278490918029798</v>
      </c>
      <c r="F14" s="4">
        <f>E14*(1/(1+F13))</f>
        <v>0.7773230908948168</v>
      </c>
      <c r="G14" s="4">
        <f>F14*(1/(1+G13))</f>
        <v>0.7298808365209547</v>
      </c>
      <c r="H14" s="4">
        <f>G14*(1/(1+H13))</f>
        <v>0.6853341187990185</v>
      </c>
      <c r="I14" s="4">
        <f>H14*(1/(1+I13))</f>
        <v>0.6435062148347591</v>
      </c>
      <c r="J14" s="4">
        <f>I14*(1/(1+J13))</f>
        <v>0.6042311876382714</v>
      </c>
      <c r="K14" s="4">
        <f>J14*(1/(1+K13))</f>
        <v>0.5673532278293628</v>
      </c>
      <c r="L14" s="4">
        <f>K14*(1/(1+L13))</f>
        <v>0.5327260355205284</v>
      </c>
    </row>
    <row r="15" spans="1:13" ht="26.25" customHeight="1">
      <c r="A15" s="1" t="s">
        <v>183</v>
      </c>
      <c r="C15" s="4">
        <f>C11*C14</f>
        <v>57.581613489568745</v>
      </c>
      <c r="D15" s="4">
        <f>D11*D14</f>
        <v>68.3292415887445</v>
      </c>
      <c r="E15" s="4">
        <f>E11*E14</f>
        <v>74.46784624729932</v>
      </c>
      <c r="F15" s="4">
        <f>F11*F14</f>
        <v>80.79758910077115</v>
      </c>
      <c r="G15" s="4">
        <f>G11*G14</f>
        <v>90.92010776238158</v>
      </c>
      <c r="H15" s="4">
        <f>H11*H14</f>
        <v>94.3609219468043</v>
      </c>
      <c r="I15" s="4">
        <f>I11*I14</f>
        <v>96.87351102099237</v>
      </c>
      <c r="J15" s="4">
        <f>J11*J14</f>
        <v>98.37304983058155</v>
      </c>
      <c r="K15" s="4">
        <f>K11*K14</f>
        <v>98.80533628340955</v>
      </c>
      <c r="L15" s="4">
        <f>L11*L14</f>
        <v>94.77976243368953</v>
      </c>
    </row>
    <row r="16" spans="1:13" ht="26.25" customHeight="1">
      <c r="A16" s="1" t="s">
        <v>184</v>
      </c>
      <c r="C16" s="4">
        <f>B17</f>
        <v>313.437</v>
      </c>
      <c r="D16" s="4">
        <f>C17</f>
        <v>341.3878282083777</v>
      </c>
      <c r="E16" s="4">
        <f>D17</f>
        <v>371.66801751379285</v>
      </c>
      <c r="F16" s="4">
        <f>E17</f>
        <v>404.47169179264506</v>
      </c>
      <c r="G16" s="4">
        <f>F17</f>
        <v>440.00915278205144</v>
      </c>
      <c r="H16" s="4">
        <f>G17</f>
        <v>473.5801973990986</v>
      </c>
      <c r="I16" s="4">
        <f>H17</f>
        <v>504.3047062522717</v>
      </c>
      <c r="J16" s="4">
        <f>I17</f>
        <v>531.3203095261517</v>
      </c>
      <c r="K16" s="4">
        <f>J17</f>
        <v>553.8206637333597</v>
      </c>
      <c r="L16" s="4">
        <f>K17</f>
        <v>571.0939300453605</v>
      </c>
    </row>
    <row r="17" spans="1:12" ht="26.25" customHeight="1">
      <c r="A17" s="1" t="s">
        <v>185</v>
      </c>
      <c r="B17" s="4">
        <f>'WD40_Inputs_bull'!B45+0</f>
        <v>313.437</v>
      </c>
      <c r="C17" s="4">
        <f>B17+C10</f>
        <v>341.3878282083777</v>
      </c>
      <c r="D17" s="4">
        <f>C17+D10</f>
        <v>371.66801751379285</v>
      </c>
      <c r="E17" s="4">
        <f>D17+E10</f>
        <v>404.47169179264506</v>
      </c>
      <c r="F17" s="4">
        <f>E17+F10</f>
        <v>440.00915278205144</v>
      </c>
      <c r="G17" s="4">
        <f>F17+G10</f>
        <v>473.5801973990986</v>
      </c>
      <c r="H17" s="4">
        <f>G17+H10</f>
        <v>504.3047062522717</v>
      </c>
      <c r="I17" s="4">
        <f>H17+I10</f>
        <v>531.3203095261517</v>
      </c>
      <c r="J17" s="4">
        <f>I17+J10</f>
        <v>553.8206637333597</v>
      </c>
      <c r="K17" s="4">
        <f>J17+K10</f>
        <v>571.0939300453605</v>
      </c>
      <c r="L17" s="4">
        <f>K17+L10</f>
        <v>588.8853943467213</v>
      </c>
    </row>
    <row r="18" spans="1:12" ht="26.25" customHeight="1">
      <c r="A18" s="1" t="s">
        <v>186</v>
      </c>
      <c r="C18" s="4">
        <f>C9-(C13*B17)</f>
        <v>68.9018415747684</v>
      </c>
      <c r="D18" s="4">
        <f>D9-(D13*C17)</f>
        <v>85.59071451286431</v>
      </c>
      <c r="E18" s="4">
        <f>E9-(E13*D17)</f>
        <v>98.59866008943854</v>
      </c>
      <c r="F18" s="4">
        <f>F9-(F13*E17)</f>
        <v>113.19018061265177</v>
      </c>
      <c r="G18" s="4">
        <f>G9-(G13*F17)</f>
        <v>129.53887676776424</v>
      </c>
      <c r="H18" s="4">
        <f>H9-(H13*G17)</f>
        <v>137.62780837510076</v>
      </c>
      <c r="I18" s="4">
        <f>I9-(I13*H17)</f>
        <v>144.77593013973183</v>
      </c>
      <c r="J18" s="4">
        <f>J9-(J13*I17)</f>
        <v>150.7715057292559</v>
      </c>
      <c r="K18" s="4">
        <f>K9-(K13*J17)</f>
        <v>155.42628326898142</v>
      </c>
      <c r="L18" s="4">
        <f>L9-(L13*K17)</f>
        <v>158.58500186202053</v>
      </c>
    </row>
    <row r="19" spans="1:12" ht="26.25" customHeight="1">
      <c r="A19" s="1" t="s">
        <v>187</v>
      </c>
      <c r="C19" s="4">
        <f>C18*C14</f>
        <v>64.69656485893746</v>
      </c>
      <c r="D19" s="4">
        <f>D18*D14</f>
        <v>75.46184796919863</v>
      </c>
      <c r="E19" s="4">
        <f>E18*E14</f>
        <v>81.62481120803241</v>
      </c>
      <c r="F19" s="4">
        <f>F18*F14</f>
        <v>87.98534105276904</v>
      </c>
      <c r="G19" s="4">
        <f>G18*G14</f>
        <v>94.54794373724063</v>
      </c>
      <c r="H19" s="4">
        <f>H18*H14</f>
        <v>94.32103277498986</v>
      </c>
      <c r="I19" s="4">
        <f>I18*I14</f>
        <v>93.16421080340035</v>
      </c>
      <c r="J19" s="4">
        <f>J18*J14</f>
        <v>91.10084596879874</v>
      </c>
      <c r="K19" s="4">
        <f>K18*K14</f>
        <v>88.1816035021775</v>
      </c>
      <c r="L19" s="4">
        <f>L18*L14</f>
        <v>84.48235933496981</v>
      </c>
    </row>
    <row r="20" spans="1:12" ht="26.25" customHeight="1">
      <c r="A20" s="1" t="s">
        <v>188</v>
      </c>
      <c r="C20" s="4">
        <f>'WD40_Inputs_bull'!B18+0</f>
        <v>2</v>
      </c>
      <c r="D20" s="4">
        <f>'WD40_Inputs_bull'!B18+0</f>
        <v>2</v>
      </c>
      <c r="E20" s="4">
        <f>'WD40_Inputs_bull'!B18+0</f>
        <v>2</v>
      </c>
      <c r="F20" s="4">
        <f>'WD40_Inputs_bull'!B18+0</f>
        <v>2</v>
      </c>
      <c r="G20" s="4">
        <f>'WD40_Inputs_bull'!B18+0</f>
        <v>2</v>
      </c>
      <c r="H20" s="4">
        <f>'WD40_Inputs_bull'!B19+0</f>
        <v>2</v>
      </c>
      <c r="I20" s="4">
        <f>'WD40_Inputs_bull'!B19+0</f>
        <v>2</v>
      </c>
      <c r="J20" s="4">
        <f>'WD40_Inputs_bull'!B19+0</f>
        <v>2</v>
      </c>
      <c r="K20" s="4">
        <f>'WD40_Inputs_bull'!B19+0</f>
        <v>2</v>
      </c>
      <c r="L20" s="4">
        <f>'WD40_Inputs_bull'!B19+0</f>
        <v>2</v>
      </c>
    </row>
    <row r="21" spans="1:12" ht="26.25" customHeight="1">
      <c r="A21" s="1" t="s">
        <v>189</v>
      </c>
      <c r="B21" s="4">
        <f>M11/(M13-M3)</f>
        <v>5068.229019151082</v>
      </c>
    </row>
    <row r="22" spans="1:12" ht="26.25" customHeight="1">
      <c r="A22" s="1" t="s">
        <v>16</v>
      </c>
      <c r="B22" s="4">
        <f>B21*L14</f>
        <v>2699.977552482452</v>
      </c>
    </row>
    <row r="23" spans="1:12" ht="26.25" customHeight="1">
      <c r="A23" s="1" t="s">
        <v>190</v>
      </c>
      <c r="B23" s="4">
        <f>SUM(C15:L15)</f>
        <v>855.2889797042426</v>
      </c>
    </row>
    <row r="24" spans="1:12" ht="26.25" customHeight="1">
      <c r="A24" s="1" t="s">
        <v>191</v>
      </c>
      <c r="B24" s="4">
        <f>B22+B23</f>
        <v>3555.266532186695</v>
      </c>
    </row>
    <row r="25" spans="1:12" ht="26.25" customHeight="1">
      <c r="A25" s="1" t="s">
        <v>192</v>
      </c>
      <c r="B25" s="4">
        <f>IF('WD40_Inputs_bull'!B34+0=1,(('WD40_Inputs_bull'!B4+0+'WD40_Inputs_bull'!B5+0)*'WD40_Inputs_bull'!B33+0),(B24*'WD40_Inputs_bull'!B33+0))</f>
        <v>1777.6332660933474</v>
      </c>
    </row>
    <row r="26" spans="1:12" ht="26.25" customHeight="1">
      <c r="A26" s="1" t="s">
        <v>14</v>
      </c>
      <c r="B26" s="3">
        <f>(B24*(1-'WD40_Inputs_bull'!B32+0))+(B25*'WD40_Inputs_bull'!B32+0)</f>
        <v>3555.266532186695</v>
      </c>
    </row>
    <row r="27" spans="1:12" ht="26.25" customHeight="1">
      <c r="A27" s="1" t="s">
        <v>15</v>
      </c>
      <c r="B27" s="3">
        <f>B26-'WD40_Inputs_bull'!B5+0-'WD40_Inputs_bull'!B8+0+'WD40_Inputs_bull'!B48+0+'WD40_Inputs_bull'!B7+0</f>
        <v>3526.401532186695</v>
      </c>
    </row>
    <row r="28" spans="1:12" ht="26.25" customHeight="1">
      <c r="A28" s="1" t="s">
        <v>193</v>
      </c>
      <c r="B28" s="3">
        <f>IF('WD40_Inputs_bull'!B21+0&gt;'WD40_Inputs_bull'!B22+0,IF('WD40_Inputs_bull'!B20+0&gt;0,IF('WD40_Inputs_bull'!B9+0&gt;0,IF('WD40_Inputs_bull'!B18+0&gt;0,IF('WD40_Inputs_bull'!B19+0&gt;0,IF(IF('WD40_Inputs_bull'!B23+0=1,IF('WD40_Inputs_bull'!B24+0&gt;0,1,0),1)=1,IF(IF('WD40_Inputs_bull'!B23+0=1,IF('WD40_Inputs_bull'!B24+0&gt;='WD40_Inputs_bull'!B22+0,1,0),1)=1,B27/'WD40_Inputs_bull'!B9+0,"Blocked: terminal reinvestment exceeds NOPAT"),"Blocked: active terminal ROIC must be positive"),"Blocked: years 6-10 sales to capital must be positive"),"Blocked: years 1-5 sales to capital must be positive"),"Blocked: shares must be positive"),"Blocked: starting WACC must be positive"),"Blocked: terminal WACC must exceed growth")</f>
        <v>258.66159350015437</v>
      </c>
    </row>
    <row r="29" spans="1:12" ht="26.25" customHeight="1">
      <c r="A29" s="1" t="s">
        <v>17</v>
      </c>
      <c r="B29" s="5">
        <f>B22/B24</f>
        <v>0.759430419080791</v>
      </c>
    </row>
    <row r="30" spans="1:12" ht="26.25" customHeight="1">
      <c r="A30" s="1" t="s">
        <v>194</v>
      </c>
      <c r="B30" s="5">
        <f>IF(M3&gt;0,(M3/IF('WD40_Inputs_bull'!B23+0=1,'WD40_Inputs_bull'!B24+0,L13)),0)</f>
        <v>0.12</v>
      </c>
    </row>
    <row r="31" spans="1:12" ht="26.25" customHeight="1">
      <c r="A31" s="1" t="s">
        <v>195</v>
      </c>
      <c r="B31" s="4">
        <f>IF(M3&gt;0,((M9*(1-(M13/IF('WD40_Inputs_bull'!B23+0=1,'WD40_Inputs_bull'!B24+0,L13))))/(M13-M3)),(M9/(M13-M3)))</f>
        <v>4261.9198570134095</v>
      </c>
    </row>
    <row r="32" spans="1:12" ht="26.25" customHeight="1">
      <c r="A32" s="1" t="s">
        <v>196</v>
      </c>
      <c r="B32" s="4">
        <f>IF(M3&gt;0,((M9/IF('WD40_Inputs_bull'!B23+0=1,'WD40_Inputs_bull'!B24+0,L13))-L17),(0-L17))</f>
        <v>217.42376779095082</v>
      </c>
    </row>
    <row r="33" spans="1:2" ht="26.25" customHeight="1">
      <c r="A33" s="1" t="s">
        <v>197</v>
      </c>
      <c r="B33" s="4">
        <f>B31+B32</f>
        <v>4479.34362480436</v>
      </c>
    </row>
    <row r="34" spans="1:2" ht="26.25" customHeight="1">
      <c r="A34" s="1" t="s">
        <v>198</v>
      </c>
      <c r="B34" s="4">
        <f>B17+SUM(C19:L19)+(B33*L14)</f>
        <v>3555.2665321866943</v>
      </c>
    </row>
    <row r="35" spans="1:2" ht="26.25" customHeight="1">
      <c r="A35" s="1" t="s">
        <v>20</v>
      </c>
      <c r="B35" s="3">
        <f>B34-B24</f>
        <v>-4.547473508864641e-13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16"/>
  <sheetViews>
    <sheetView workbookViewId="0" showGridLines="0">
      <pane xSplit="1" ySplit="1" topLeftCell="B2" activePane="bottomRight" state="frozen"/>
      <selection pane="bottomRight" activeCell="B2" sqref="B2"/>
    </sheetView>
  </sheetViews>
  <sheetFormatPr defaultRowHeight="15"/>
  <cols>
    <col min="1" max="1" width="65.7109375" customWidth="1"/>
    <col min="2" max="4" width="31.7109375" customWidth="1"/>
  </cols>
  <sheetData>
    <row r="1" spans="1:4" ht="36" customHeight="1">
      <c r="A1" s="1" t="s">
        <v>229</v>
      </c>
      <c r="B1" s="2" t="s">
        <v>212</v>
      </c>
      <c r="C1" s="2" t="s">
        <v>213</v>
      </c>
      <c r="D1" s="2" t="s">
        <v>214</v>
      </c>
    </row>
    <row r="2" spans="1:4" ht="26.25" customHeight="1">
      <c r="A2" s="1" t="s">
        <v>215</v>
      </c>
      <c r="B2" s="8">
        <v>12.5</v>
      </c>
      <c r="C2" s="8">
        <v>14</v>
      </c>
      <c r="D2" s="8">
        <v>21.48148148148148</v>
      </c>
    </row>
    <row r="3" spans="1:4" ht="26.25" customHeight="1">
      <c r="A3" s="1" t="s">
        <v>216</v>
      </c>
      <c r="B3" s="6">
        <f>'WD40_Inputs_original'!B3+0+8.191000000000003+0</f>
        <v>111.98400000000001</v>
      </c>
      <c r="C3" s="6">
        <f>'WD40_Inputs_original'!B3+0+8.191000000000003+0</f>
        <v>111.98400000000001</v>
      </c>
      <c r="D3" s="6">
        <f>'WD40_Inputs_original'!B3+0+8.191000000000003+0</f>
        <v>111.98400000000001</v>
      </c>
    </row>
    <row r="4" spans="1:4" ht="26.25" customHeight="1">
      <c r="A4" s="1" t="s">
        <v>217</v>
      </c>
      <c r="B4" s="6">
        <f>'WD40_Inputs_original'!B5+0-'WD40_Inputs_original'!B6+0</f>
        <v>28.865000000000002</v>
      </c>
      <c r="C4" s="6">
        <f>'WD40_Inputs_original'!B5+0-'WD40_Inputs_original'!B6+0</f>
        <v>28.865000000000002</v>
      </c>
      <c r="D4" s="6">
        <f>'WD40_Inputs_original'!B5+0-'WD40_Inputs_original'!B6+0</f>
        <v>28.865000000000002</v>
      </c>
    </row>
    <row r="5" spans="1:4" ht="26.25" customHeight="1">
      <c r="A5" s="1" t="s">
        <v>119</v>
      </c>
      <c r="B5" s="6">
        <f>'WD40_Inputs_original'!B9+0</f>
        <v>13.633263</v>
      </c>
      <c r="C5" s="6">
        <f>'WD40_Inputs_original'!B9+0</f>
        <v>13.633263</v>
      </c>
      <c r="D5" s="6">
        <f>'WD40_Inputs_original'!B9+0</f>
        <v>13.633263</v>
      </c>
    </row>
    <row r="6" spans="1:4" ht="26.25" customHeight="1">
      <c r="A6" s="1" t="s">
        <v>218</v>
      </c>
      <c r="B6" s="3">
        <f>((B2*B3)-B4)/B5</f>
        <v>100.55809823370973</v>
      </c>
      <c r="C6" s="3">
        <f>((C2*C3)-C4)/C5</f>
        <v>112.87913979213928</v>
      </c>
      <c r="D6" s="3">
        <f>((D2*D3)-D4)/D5</f>
        <v>174.33223596010893</v>
      </c>
    </row>
    <row r="7" spans="1:4" ht="36" customHeight="1">
      <c r="A7" s="1" t="s">
        <v>219</v>
      </c>
      <c r="B7" s="7" t="s">
        <v>32</v>
      </c>
      <c r="C7" s="7" t="s">
        <v>32</v>
      </c>
      <c r="D7" s="7" t="s">
        <v>32</v>
      </c>
    </row>
    <row r="8" spans="1:4" ht="26.25" customHeight="1">
      <c r="A8" s="1" t="s">
        <v>220</v>
      </c>
      <c r="B8" s="6">
        <v>12.5</v>
      </c>
    </row>
    <row r="9" spans="1:4" ht="26.25" customHeight="1">
      <c r="A9" s="1" t="s">
        <v>221</v>
      </c>
      <c r="B9" s="7" t="s">
        <v>206</v>
      </c>
    </row>
    <row r="10" spans="1:4" ht="26.25" customHeight="1">
      <c r="A10" s="1" t="s">
        <v>222</v>
      </c>
      <c r="B10" s="7" t="s">
        <v>207</v>
      </c>
    </row>
    <row r="11" spans="1:4" ht="26.25" customHeight="1">
      <c r="A11" s="1" t="s">
        <v>223</v>
      </c>
      <c r="B11" s="6">
        <v>21.48148148148148</v>
      </c>
    </row>
    <row r="12" spans="1:4" ht="26.25" customHeight="1">
      <c r="A12" s="1" t="s">
        <v>224</v>
      </c>
      <c r="B12" s="7" t="s">
        <v>208</v>
      </c>
    </row>
    <row r="13" spans="1:4" ht="36" customHeight="1">
      <c r="A13" s="1" t="s">
        <v>225</v>
      </c>
      <c r="B13" s="7" t="s">
        <v>209</v>
      </c>
    </row>
    <row r="14" spans="1:4" ht="26.25" customHeight="1">
      <c r="A14" s="1" t="s">
        <v>226</v>
      </c>
      <c r="B14" s="6">
        <v>14</v>
      </c>
    </row>
    <row r="15" spans="1:4" ht="26.25" customHeight="1">
      <c r="A15" s="1" t="s">
        <v>227</v>
      </c>
      <c r="B15" s="7" t="s">
        <v>210</v>
      </c>
    </row>
    <row r="16" spans="1:4" ht="26.25" customHeight="1">
      <c r="A16" s="1" t="s">
        <v>228</v>
      </c>
      <c r="B16" s="7" t="s">
        <v>211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137"/>
  <sheetViews>
    <sheetView workbookViewId="0" showGridLines="0">
      <pane xSplit="1" ySplit="1" topLeftCell="B2" activePane="bottomRight" state="frozen"/>
      <selection pane="bottomRight" activeCell="B2" sqref="B2"/>
    </sheetView>
  </sheetViews>
  <sheetFormatPr defaultRowHeight="15"/>
  <cols>
    <col min="1" max="1" width="65.7109375" customWidth="1"/>
    <col min="2" max="4" width="31.7109375" customWidth="1"/>
  </cols>
  <sheetData>
    <row r="1" spans="1:4" ht="36" customHeight="1">
      <c r="A1" s="1" t="s">
        <v>368</v>
      </c>
      <c r="B1" s="2" t="s">
        <v>230</v>
      </c>
      <c r="C1" s="2" t="s">
        <v>231</v>
      </c>
      <c r="D1" s="2" t="s">
        <v>232</v>
      </c>
    </row>
    <row r="2" spans="1:4" ht="26.25" customHeight="1">
      <c r="A2" s="1" t="s">
        <v>233</v>
      </c>
      <c r="B2" s="9">
        <v>0.25</v>
      </c>
      <c r="C2" s="9">
        <v>0.2</v>
      </c>
      <c r="D2" s="9">
        <v>0.175</v>
      </c>
    </row>
    <row r="3" spans="1:4" ht="26.25" customHeight="1">
      <c r="A3" s="1" t="s">
        <v>234</v>
      </c>
      <c r="B3" s="11">
        <v>5</v>
      </c>
      <c r="C3" s="11">
        <v>5</v>
      </c>
      <c r="D3" s="11">
        <v>5</v>
      </c>
    </row>
    <row r="4" spans="1:4" ht="26.25" customHeight="1">
      <c r="A4" s="1" t="s">
        <v>235</v>
      </c>
      <c r="B4" s="8">
        <v>5.5</v>
      </c>
      <c r="C4" s="8">
        <v>5.5</v>
      </c>
      <c r="D4" s="8">
        <v>5.5</v>
      </c>
    </row>
    <row r="5" spans="1:4" ht="26.25" customHeight="1">
      <c r="A5" s="1" t="s">
        <v>236</v>
      </c>
      <c r="B5" s="9">
        <v>0.08</v>
      </c>
      <c r="C5" s="9">
        <v>0.08</v>
      </c>
      <c r="D5" s="9">
        <v>0.08</v>
      </c>
    </row>
    <row r="6" spans="1:4" ht="26.25" customHeight="1">
      <c r="A6" s="1" t="s">
        <v>237</v>
      </c>
      <c r="B6" s="8">
        <v>14</v>
      </c>
      <c r="C6" s="8">
        <v>14</v>
      </c>
      <c r="D6" s="8">
        <v>14</v>
      </c>
    </row>
    <row r="7" spans="1:4" ht="26.25" customHeight="1">
      <c r="A7" s="1" t="s">
        <v>238</v>
      </c>
      <c r="B7" s="8">
        <v>5</v>
      </c>
      <c r="C7" s="8">
        <v>5</v>
      </c>
      <c r="D7" s="8">
        <v>5</v>
      </c>
    </row>
    <row r="8" spans="1:4" ht="26.25" customHeight="1">
      <c r="A8" s="1" t="s">
        <v>239</v>
      </c>
      <c r="B8" s="9">
        <v>1</v>
      </c>
      <c r="C8" s="9">
        <v>1</v>
      </c>
      <c r="D8" s="9">
        <v>1</v>
      </c>
    </row>
    <row r="9" spans="1:4" ht="26.25" customHeight="1">
      <c r="A9" s="1" t="s">
        <v>240</v>
      </c>
      <c r="B9" s="9">
        <v>0.01</v>
      </c>
      <c r="C9" s="9">
        <v>0.01</v>
      </c>
      <c r="D9" s="9">
        <v>0.01</v>
      </c>
    </row>
    <row r="10" spans="1:4" ht="26.25" customHeight="1">
      <c r="A10" s="1" t="s">
        <v>241</v>
      </c>
      <c r="B10" s="9">
        <v>0.02</v>
      </c>
      <c r="C10" s="9">
        <v>0.02</v>
      </c>
      <c r="D10" s="9">
        <v>0.02</v>
      </c>
    </row>
    <row r="11" spans="1:4" ht="26.25" customHeight="1">
      <c r="A11" s="1" t="s">
        <v>242</v>
      </c>
      <c r="B11" s="9">
        <v>0.02</v>
      </c>
      <c r="C11" s="9">
        <v>0.02</v>
      </c>
      <c r="D11" s="9">
        <v>0.02</v>
      </c>
    </row>
    <row r="12" spans="1:4" ht="26.25" customHeight="1">
      <c r="A12" s="1" t="s">
        <v>243</v>
      </c>
      <c r="B12" s="9">
        <v>0.02</v>
      </c>
      <c r="C12" s="9">
        <v>0.02</v>
      </c>
      <c r="D12" s="9">
        <v>0.02</v>
      </c>
    </row>
    <row r="13" spans="1:4" ht="26.25" customHeight="1">
      <c r="A13" s="1" t="s">
        <v>244</v>
      </c>
      <c r="B13" s="8">
        <v>8.191000000000001</v>
      </c>
      <c r="C13" s="8">
        <v>8.191000000000001</v>
      </c>
      <c r="D13" s="8">
        <v>8.191000000000001</v>
      </c>
    </row>
    <row r="14" spans="1:4" ht="26.25" customHeight="1">
      <c r="A14" s="1" t="s">
        <v>245</v>
      </c>
      <c r="B14" s="6">
        <f>'WD40_Inputs_base'!B3+0</f>
        <v>103.793</v>
      </c>
      <c r="C14" s="6">
        <f>'WD40_Inputs_base'!B3+0</f>
        <v>103.793</v>
      </c>
      <c r="D14" s="6">
        <f>'WD40_Inputs_base'!B3+0</f>
        <v>103.793</v>
      </c>
    </row>
    <row r="15" spans="1:4" ht="26.25" customHeight="1">
      <c r="A15" s="1" t="s">
        <v>246</v>
      </c>
      <c r="B15" s="6">
        <f>'WD40_Inputs_base'!B2+0</f>
        <v>619.985</v>
      </c>
      <c r="C15" s="6">
        <f>'WD40_Inputs_base'!B2+0</f>
        <v>619.985</v>
      </c>
      <c r="D15" s="6">
        <f>'WD40_Inputs_base'!B2+0</f>
        <v>619.985</v>
      </c>
    </row>
    <row r="16" spans="1:4" ht="26.25" customHeight="1">
      <c r="A16" s="1" t="s">
        <v>119</v>
      </c>
      <c r="B16" s="6">
        <f>'WD40_Inputs_base'!B9+0</f>
        <v>13.633263</v>
      </c>
      <c r="C16" s="6">
        <f>'WD40_Inputs_base'!B9+0</f>
        <v>13.633263</v>
      </c>
      <c r="D16" s="6">
        <f>'WD40_Inputs_base'!B9+0</f>
        <v>13.633263</v>
      </c>
    </row>
    <row r="17" spans="1:4" ht="26.25" customHeight="1">
      <c r="A17" s="1" t="s">
        <v>247</v>
      </c>
      <c r="B17" s="6">
        <f>'WD40_Inputs_base'!B5+0</f>
        <v>86.995</v>
      </c>
      <c r="C17" s="6">
        <f>'WD40_Inputs_base'!B5+0</f>
        <v>86.995</v>
      </c>
      <c r="D17" s="6">
        <f>'WD40_Inputs_base'!B5+0</f>
        <v>86.995</v>
      </c>
    </row>
    <row r="18" spans="1:4" ht="26.25" customHeight="1">
      <c r="A18" s="1" t="s">
        <v>248</v>
      </c>
      <c r="B18" s="6">
        <f>'WD40_Inputs_base'!B6+0</f>
        <v>58.13</v>
      </c>
      <c r="C18" s="6">
        <f>'WD40_Inputs_base'!B6+0</f>
        <v>58.13</v>
      </c>
      <c r="D18" s="6">
        <f>'WD40_Inputs_base'!B6+0</f>
        <v>58.13</v>
      </c>
    </row>
    <row r="19" spans="1:4" ht="26.25" customHeight="1">
      <c r="A19" s="1" t="s">
        <v>249</v>
      </c>
      <c r="B19" s="6">
        <f>'WD40_Inputs_base'!B15+0-(B14/B15)</f>
        <v>0.0036560024301663108</v>
      </c>
      <c r="C19" s="6">
        <f>'WD40_Inputs_base'!B15+0-(C14/C15)</f>
        <v>0.0036560024301663108</v>
      </c>
      <c r="D19" s="6">
        <f>'WD40_Inputs_base'!B15+0-(D14/D15)</f>
        <v>0.0036560024301663108</v>
      </c>
    </row>
    <row r="20" spans="1:4" ht="26.25" customHeight="1">
      <c r="A20" s="1" t="s">
        <v>250</v>
      </c>
      <c r="B20" s="6">
        <f>B13/B15</f>
        <v>0.013211609958305445</v>
      </c>
      <c r="C20" s="6">
        <f>C13/C15</f>
        <v>0.013211609958305445</v>
      </c>
      <c r="D20" s="6">
        <f>D13/D15</f>
        <v>0.013211609958305445</v>
      </c>
    </row>
    <row r="21" spans="1:4" ht="26.25" customHeight="1">
      <c r="A21" s="1" t="s">
        <v>251</v>
      </c>
      <c r="B21" s="6">
        <f>B14+B13</f>
        <v>111.98400000000001</v>
      </c>
      <c r="C21" s="6">
        <f>C14+C13</f>
        <v>111.98400000000001</v>
      </c>
      <c r="D21" s="6">
        <f>D14+D13</f>
        <v>111.98400000000001</v>
      </c>
    </row>
    <row r="22" spans="1:4" ht="26.25" customHeight="1">
      <c r="A22" s="1" t="s">
        <v>252</v>
      </c>
      <c r="B22" s="6">
        <f>B21*B4</f>
        <v>615.912</v>
      </c>
      <c r="C22" s="6">
        <f>C21*C4</f>
        <v>615.912</v>
      </c>
      <c r="D22" s="6">
        <f>D21*D4</f>
        <v>615.912</v>
      </c>
    </row>
    <row r="23" spans="1:4" ht="26.25" customHeight="1">
      <c r="A23" s="1" t="s">
        <v>253</v>
      </c>
      <c r="B23" s="6">
        <f>IF((B18-B7)&gt;0,(B18-B7),0)</f>
        <v>53.13</v>
      </c>
      <c r="C23" s="6">
        <f>IF((C18-C7)&gt;0,(C18-C7),0)</f>
        <v>53.13</v>
      </c>
      <c r="D23" s="6">
        <f>IF((D18-D7)&gt;0,(D18-D7),0)</f>
        <v>53.13</v>
      </c>
    </row>
    <row r="24" spans="1:4" ht="26.25" customHeight="1">
      <c r="A24" s="1" t="s">
        <v>254</v>
      </c>
      <c r="B24" s="6">
        <f>B18-B23</f>
        <v>5.0</v>
      </c>
      <c r="C24" s="6">
        <f>C18-C23</f>
        <v>5.0</v>
      </c>
      <c r="D24" s="6">
        <f>D18-D23</f>
        <v>5.0</v>
      </c>
    </row>
    <row r="25" spans="1:4" ht="26.25" customHeight="1">
      <c r="A25" s="1" t="s">
        <v>255</v>
      </c>
      <c r="B25" s="6">
        <f>IF((B7-B24)&gt;0,(B7-B24),0)</f>
        <v>0</v>
      </c>
      <c r="C25" s="6">
        <f>IF((C7-C24)&gt;0,(C7-C24),0)</f>
        <v>0</v>
      </c>
      <c r="D25" s="6">
        <f>IF((D7-D24)&gt;0,(D7-D24),0)</f>
        <v>0</v>
      </c>
    </row>
    <row r="26" spans="1:4" ht="26.25" customHeight="1">
      <c r="A26" s="1" t="s">
        <v>256</v>
      </c>
      <c r="B26" s="6">
        <f>'WD40_DCF_base'!C4+0</f>
        <v>657.4545400000001</v>
      </c>
      <c r="C26" s="6">
        <f>'WD40_DCF_base'!C4+0</f>
        <v>657.4545400000001</v>
      </c>
      <c r="D26" s="6">
        <f>'WD40_DCF_base'!C4+0</f>
        <v>657.4545400000001</v>
      </c>
    </row>
    <row r="27" spans="1:4" ht="26.25" customHeight="1">
      <c r="A27" s="1" t="s">
        <v>257</v>
      </c>
      <c r="B27" s="6">
        <f>'WD40_DCF_base'!C6+0</f>
        <v>112.4695103282929</v>
      </c>
      <c r="C27" s="6">
        <f>'WD40_DCF_base'!C6+0</f>
        <v>112.4695103282929</v>
      </c>
      <c r="D27" s="6">
        <f>'WD40_DCF_base'!C6+0</f>
        <v>112.4695103282929</v>
      </c>
    </row>
    <row r="28" spans="1:4" ht="26.25" customHeight="1">
      <c r="A28" s="1" t="s">
        <v>258</v>
      </c>
      <c r="B28" s="6">
        <f>B27-(B26*B19)</f>
        <v>110.06585493232902</v>
      </c>
      <c r="C28" s="6">
        <f>C27-(C26*C19)</f>
        <v>110.06585493232902</v>
      </c>
      <c r="D28" s="6">
        <f>D27-(D26*D19)</f>
        <v>110.06585493232902</v>
      </c>
    </row>
    <row r="29" spans="1:4" ht="26.25" customHeight="1">
      <c r="A29" s="1" t="s">
        <v>259</v>
      </c>
      <c r="B29" s="6">
        <f>B28+(B26*B20)</f>
        <v>118.75188788012615</v>
      </c>
      <c r="C29" s="6">
        <f>C28+(C26*C20)</f>
        <v>118.75188788012615</v>
      </c>
      <c r="D29" s="6">
        <f>D28+(D26*D20)</f>
        <v>118.75188788012615</v>
      </c>
    </row>
    <row r="30" spans="1:4" ht="26.25" customHeight="1">
      <c r="A30" s="1" t="s">
        <v>260</v>
      </c>
      <c r="B30" s="6">
        <f>'WD40_DCF_base'!C11+0</f>
        <v>67.26991853613775</v>
      </c>
      <c r="C30" s="6">
        <f>'WD40_DCF_base'!C11+0</f>
        <v>67.26991853613775</v>
      </c>
      <c r="D30" s="6">
        <f>'WD40_DCF_base'!C11+0</f>
        <v>67.26991853613775</v>
      </c>
    </row>
    <row r="31" spans="1:4" ht="26.25" customHeight="1">
      <c r="A31" s="1" t="s">
        <v>261</v>
      </c>
      <c r="B31" s="10">
        <f>'WD40_DCF_base'!C7+0</f>
        <v>0.22200027552004406</v>
      </c>
      <c r="C31" s="10">
        <f>'WD40_DCF_base'!C7+0</f>
        <v>0.22200027552004406</v>
      </c>
      <c r="D31" s="10">
        <f>'WD40_DCF_base'!C7+0</f>
        <v>0.22200027552004406</v>
      </c>
    </row>
    <row r="32" spans="1:4" ht="26.25" customHeight="1">
      <c r="A32" s="1" t="s">
        <v>262</v>
      </c>
      <c r="B32" s="6">
        <f>B22+0</f>
        <v>615.912</v>
      </c>
      <c r="C32" s="6">
        <f>C22+0</f>
        <v>615.912</v>
      </c>
      <c r="D32" s="6">
        <f>D22+0</f>
        <v>615.912</v>
      </c>
    </row>
    <row r="33" spans="1:4" ht="26.25" customHeight="1">
      <c r="A33" s="1" t="s">
        <v>263</v>
      </c>
      <c r="B33" s="6">
        <f>B32*B5</f>
        <v>49.272960000000005</v>
      </c>
      <c r="C33" s="6">
        <f>C32*C5</f>
        <v>49.272960000000005</v>
      </c>
      <c r="D33" s="6">
        <f>D32*D5</f>
        <v>49.272960000000005</v>
      </c>
    </row>
    <row r="34" spans="1:4" ht="26.25" customHeight="1">
      <c r="A34" s="1" t="s">
        <v>264</v>
      </c>
      <c r="B34" s="6">
        <f>IF(B33&lt;IF(B28&gt;0,B28,0),B33,IF(B28&gt;0,B28,0))*B31</f>
        <v>10.93861069568811</v>
      </c>
      <c r="C34" s="6">
        <f>IF(C33&lt;IF(C28&gt;0,C28,0),C33,IF(C28&gt;0,C28,0))*C31</f>
        <v>10.93861069568811</v>
      </c>
      <c r="D34" s="6">
        <f>IF(D33&lt;IF(D28&gt;0,D28,0),D33,IF(D28&gt;0,D28,0))*D31</f>
        <v>10.93861069568811</v>
      </c>
    </row>
    <row r="35" spans="1:4" ht="26.25" customHeight="1">
      <c r="A35" s="1" t="s">
        <v>265</v>
      </c>
      <c r="B35" s="6">
        <f>(B24+B25)+0</f>
        <v>5.0</v>
      </c>
      <c r="C35" s="6">
        <f>(C24+C25)+0</f>
        <v>5.0</v>
      </c>
      <c r="D35" s="6">
        <f>(D24+D25)+0</f>
        <v>5.0</v>
      </c>
    </row>
    <row r="36" spans="1:4" ht="26.25" customHeight="1">
      <c r="A36" s="1" t="s">
        <v>266</v>
      </c>
      <c r="B36" s="6">
        <f>B30-B33+B34</f>
        <v>28.93556923182586</v>
      </c>
      <c r="C36" s="6">
        <f>C30-C33+C34</f>
        <v>28.93556923182586</v>
      </c>
      <c r="D36" s="6">
        <f>D30-D33+D34</f>
        <v>28.93556923182586</v>
      </c>
    </row>
    <row r="37" spans="1:4" ht="26.25" customHeight="1">
      <c r="A37" s="1" t="s">
        <v>267</v>
      </c>
      <c r="B37" s="6">
        <f>B35+B36-B7</f>
        <v>28.93556923182586</v>
      </c>
      <c r="C37" s="6">
        <f>C35+C36-C7</f>
        <v>28.93556923182586</v>
      </c>
      <c r="D37" s="6">
        <f>D35+D36-D7</f>
        <v>28.93556923182586</v>
      </c>
    </row>
    <row r="38" spans="1:4" ht="26.25" customHeight="1">
      <c r="A38" s="1" t="s">
        <v>268</v>
      </c>
      <c r="B38" s="6">
        <f>IF(B32&lt;(B22*B9),B32,(B22*B9))</f>
        <v>6.159120000000001</v>
      </c>
      <c r="C38" s="6">
        <f>IF(C32&lt;(C22*C9),C32,(C22*C9))</f>
        <v>6.159120000000001</v>
      </c>
      <c r="D38" s="6">
        <f>IF(D32&lt;(D22*D9),D32,(D22*D9))</f>
        <v>6.159120000000001</v>
      </c>
    </row>
    <row r="39" spans="1:4" ht="26.25" customHeight="1">
      <c r="A39" s="1" t="s">
        <v>269</v>
      </c>
      <c r="B39" s="13">
        <f>IF(B37&gt;=B38,1,0)</f>
        <v>1</v>
      </c>
      <c r="C39" s="13">
        <f>IF(C37&gt;=C38,1,0)</f>
        <v>1</v>
      </c>
      <c r="D39" s="13">
        <f>IF(D37&gt;=D38,1,0)</f>
        <v>1</v>
      </c>
    </row>
    <row r="40" spans="1:4" ht="26.25" customHeight="1">
      <c r="A40" s="1" t="s">
        <v>270</v>
      </c>
      <c r="B40" s="6">
        <f>IF(B39=1,B38,IF(B37&gt;0,B37,0))</f>
        <v>6.159120000000001</v>
      </c>
      <c r="C40" s="6">
        <f>IF(C39=1,C38,IF(C37&gt;0,C37,0))</f>
        <v>6.159120000000001</v>
      </c>
      <c r="D40" s="6">
        <f>IF(D39=1,D38,IF(D37&gt;0,D37,0))</f>
        <v>6.159120000000001</v>
      </c>
    </row>
    <row r="41" spans="1:4" ht="26.25" customHeight="1">
      <c r="A41" s="1" t="s">
        <v>271</v>
      </c>
      <c r="B41" s="6">
        <f>IF(B39=1,IF((B32-B40)&lt;(IF((B37-B40)&gt;0,(B37-B40),0)*B8),(B32-B40),(IF((B37-B40)&gt;0,(B37-B40),0)*B8)),0)</f>
        <v>22.776449231825858</v>
      </c>
      <c r="C41" s="6">
        <f>IF(C39=1,IF((C32-C40)&lt;(IF((C37-C40)&gt;0,(C37-C40),0)*C8),(C32-C40),(IF((C37-C40)&gt;0,(C37-C40),0)*C8)),0)</f>
        <v>22.776449231825858</v>
      </c>
      <c r="D41" s="6">
        <f>IF(D39=1,IF((D32-D40)&lt;(IF((D37-D40)&gt;0,(D37-D40),0)*D8),(D32-D40),(IF((D37-D40)&gt;0,(D37-D40),0)*D8)),0)</f>
        <v>22.776449231825858</v>
      </c>
    </row>
    <row r="42" spans="1:4" ht="26.25" customHeight="1">
      <c r="A42" s="1" t="s">
        <v>272</v>
      </c>
      <c r="B42" s="6">
        <f>B32-B40-B41</f>
        <v>586.9764307681742</v>
      </c>
      <c r="C42" s="6">
        <f>C32-C40-C41</f>
        <v>586.9764307681742</v>
      </c>
      <c r="D42" s="6">
        <f>D32-D40-D41</f>
        <v>586.9764307681742</v>
      </c>
    </row>
    <row r="43" spans="1:4" ht="26.25" customHeight="1">
      <c r="A43" s="1" t="s">
        <v>273</v>
      </c>
      <c r="B43" s="6">
        <f>B35+B36-B40-B41</f>
        <v>5.0</v>
      </c>
      <c r="C43" s="6">
        <f>C35+C36-C40-C41</f>
        <v>5.0</v>
      </c>
      <c r="D43" s="6">
        <f>D35+D36-D40-D41</f>
        <v>5.0</v>
      </c>
    </row>
    <row r="44" spans="1:4" ht="26.25" customHeight="1">
      <c r="A44" s="1" t="s">
        <v>274</v>
      </c>
      <c r="B44" s="6">
        <f>IF((B38-B37)&gt;0,(B38-B37),0)</f>
        <v>0</v>
      </c>
      <c r="C44" s="6">
        <f>IF((C38-C37)&gt;0,(C38-C37),0)</f>
        <v>0</v>
      </c>
      <c r="D44" s="6">
        <f>IF((D38-D37)&gt;0,(D38-D37),0)</f>
        <v>0</v>
      </c>
    </row>
    <row r="45" spans="1:4" ht="26.25" customHeight="1">
      <c r="A45" s="1" t="s">
        <v>275</v>
      </c>
      <c r="B45" s="6">
        <f>'WD40_DCF_base'!D4+0</f>
        <v>697.9171990233394</v>
      </c>
      <c r="C45" s="6">
        <f>'WD40_DCF_base'!D4+0</f>
        <v>697.9171990233394</v>
      </c>
      <c r="D45" s="6">
        <f>'WD40_DCF_base'!D4+0</f>
        <v>697.9171990233394</v>
      </c>
    </row>
    <row r="46" spans="1:4" ht="26.25" customHeight="1">
      <c r="A46" s="1" t="s">
        <v>276</v>
      </c>
      <c r="B46" s="6">
        <f>'WD40_DCF_base'!D6+0</f>
        <v>127.46820465741628</v>
      </c>
      <c r="C46" s="6">
        <f>'WD40_DCF_base'!D6+0</f>
        <v>127.46820465741628</v>
      </c>
      <c r="D46" s="6">
        <f>'WD40_DCF_base'!D6+0</f>
        <v>127.46820465741628</v>
      </c>
    </row>
    <row r="47" spans="1:4" ht="26.25" customHeight="1">
      <c r="A47" s="1" t="s">
        <v>277</v>
      </c>
      <c r="B47" s="6">
        <f>B46-(B45*B19)</f>
        <v>124.91661768173209</v>
      </c>
      <c r="C47" s="6">
        <f>C46-(C45*C19)</f>
        <v>124.91661768173209</v>
      </c>
      <c r="D47" s="6">
        <f>D46-(D45*D19)</f>
        <v>124.91661768173209</v>
      </c>
    </row>
    <row r="48" spans="1:4" ht="26.25" customHeight="1">
      <c r="A48" s="1" t="s">
        <v>278</v>
      </c>
      <c r="B48" s="6">
        <f>B47+(B45*B20)</f>
        <v>134.13722749842148</v>
      </c>
      <c r="C48" s="6">
        <f>C47+(C45*C20)</f>
        <v>134.13722749842148</v>
      </c>
      <c r="D48" s="6">
        <f>D47+(D45*D20)</f>
        <v>134.13722749842148</v>
      </c>
    </row>
    <row r="49" spans="1:4" ht="26.25" customHeight="1">
      <c r="A49" s="1" t="s">
        <v>279</v>
      </c>
      <c r="B49" s="6">
        <f>'WD40_DCF_base'!D11+0</f>
        <v>77.69377313012285</v>
      </c>
      <c r="C49" s="6">
        <f>'WD40_DCF_base'!D11+0</f>
        <v>77.69377313012285</v>
      </c>
      <c r="D49" s="6">
        <f>'WD40_DCF_base'!D11+0</f>
        <v>77.69377313012285</v>
      </c>
    </row>
    <row r="50" spans="1:4" ht="26.25" customHeight="1">
      <c r="A50" s="1" t="s">
        <v>280</v>
      </c>
      <c r="B50" s="10">
        <f>'WD40_DCF_base'!D7+0</f>
        <v>0.22200027552004406</v>
      </c>
      <c r="C50" s="10">
        <f>'WD40_DCF_base'!D7+0</f>
        <v>0.22200027552004406</v>
      </c>
      <c r="D50" s="10">
        <f>'WD40_DCF_base'!D7+0</f>
        <v>0.22200027552004406</v>
      </c>
    </row>
    <row r="51" spans="1:4" ht="26.25" customHeight="1">
      <c r="A51" s="1" t="s">
        <v>281</v>
      </c>
      <c r="B51" s="6">
        <f>B42+0</f>
        <v>586.9764307681742</v>
      </c>
      <c r="C51" s="6">
        <f>C42+0</f>
        <v>586.9764307681742</v>
      </c>
      <c r="D51" s="6">
        <f>D42+0</f>
        <v>586.9764307681742</v>
      </c>
    </row>
    <row r="52" spans="1:4" ht="26.25" customHeight="1">
      <c r="A52" s="1" t="s">
        <v>282</v>
      </c>
      <c r="B52" s="6">
        <f>B51*B5</f>
        <v>46.95811446145393</v>
      </c>
      <c r="C52" s="6">
        <f>C51*C5</f>
        <v>46.95811446145393</v>
      </c>
      <c r="D52" s="6">
        <f>D51*D5</f>
        <v>46.95811446145393</v>
      </c>
    </row>
    <row r="53" spans="1:4" ht="26.25" customHeight="1">
      <c r="A53" s="1" t="s">
        <v>283</v>
      </c>
      <c r="B53" s="6">
        <f>IF(B52&lt;IF(B47&gt;0,B47,0),B52,IF(B47&gt;0,B47,0))*B50</f>
        <v>10.424714348344539</v>
      </c>
      <c r="C53" s="6">
        <f>IF(C52&lt;IF(C47&gt;0,C47,0),C52,IF(C47&gt;0,C47,0))*C50</f>
        <v>10.424714348344539</v>
      </c>
      <c r="D53" s="6">
        <f>IF(D52&lt;IF(D47&gt;0,D47,0),D52,IF(D47&gt;0,D47,0))*D50</f>
        <v>10.424714348344539</v>
      </c>
    </row>
    <row r="54" spans="1:4" ht="26.25" customHeight="1">
      <c r="A54" s="1" t="s">
        <v>284</v>
      </c>
      <c r="B54" s="6">
        <f>B43+0</f>
        <v>5.0</v>
      </c>
      <c r="C54" s="6">
        <f>C43+0</f>
        <v>5.0</v>
      </c>
      <c r="D54" s="6">
        <f>D43+0</f>
        <v>5.0</v>
      </c>
    </row>
    <row r="55" spans="1:4" ht="26.25" customHeight="1">
      <c r="A55" s="1" t="s">
        <v>285</v>
      </c>
      <c r="B55" s="6">
        <f>B49-B52+B53</f>
        <v>41.160373017013455</v>
      </c>
      <c r="C55" s="6">
        <f>C49-C52+C53</f>
        <v>41.160373017013455</v>
      </c>
      <c r="D55" s="6">
        <f>D49-D52+D53</f>
        <v>41.160373017013455</v>
      </c>
    </row>
    <row r="56" spans="1:4" ht="26.25" customHeight="1">
      <c r="A56" s="1" t="s">
        <v>286</v>
      </c>
      <c r="B56" s="6">
        <f>B54+B55-B7</f>
        <v>41.160373017013455</v>
      </c>
      <c r="C56" s="6">
        <f>C54+C55-C7</f>
        <v>41.160373017013455</v>
      </c>
      <c r="D56" s="6">
        <f>D54+D55-D7</f>
        <v>41.160373017013455</v>
      </c>
    </row>
    <row r="57" spans="1:4" ht="26.25" customHeight="1">
      <c r="A57" s="1" t="s">
        <v>287</v>
      </c>
      <c r="B57" s="6">
        <f>IF(B51&lt;(B22*B9),B51,(B22*B9))</f>
        <v>6.159120000000001</v>
      </c>
      <c r="C57" s="6">
        <f>IF(C51&lt;(C22*C9),C51,(C22*C9))</f>
        <v>6.159120000000001</v>
      </c>
      <c r="D57" s="6">
        <f>IF(D51&lt;(D22*D9),D51,(D22*D9))</f>
        <v>6.159120000000001</v>
      </c>
    </row>
    <row r="58" spans="1:4" ht="26.25" customHeight="1">
      <c r="A58" s="1" t="s">
        <v>288</v>
      </c>
      <c r="B58" s="13">
        <f>IF(B56&gt;=B57,1,0)</f>
        <v>1</v>
      </c>
      <c r="C58" s="13">
        <f>IF(C56&gt;=C57,1,0)</f>
        <v>1</v>
      </c>
      <c r="D58" s="13">
        <f>IF(D56&gt;=D57,1,0)</f>
        <v>1</v>
      </c>
    </row>
    <row r="59" spans="1:4" ht="26.25" customHeight="1">
      <c r="A59" s="1" t="s">
        <v>289</v>
      </c>
      <c r="B59" s="6">
        <f>IF(B58=1,B57,IF(B56&gt;0,B56,0))</f>
        <v>6.159120000000001</v>
      </c>
      <c r="C59" s="6">
        <f>IF(C58=1,C57,IF(C56&gt;0,C56,0))</f>
        <v>6.159120000000001</v>
      </c>
      <c r="D59" s="6">
        <f>IF(D58=1,D57,IF(D56&gt;0,D56,0))</f>
        <v>6.159120000000001</v>
      </c>
    </row>
    <row r="60" spans="1:4" ht="26.25" customHeight="1">
      <c r="A60" s="1" t="s">
        <v>290</v>
      </c>
      <c r="B60" s="6">
        <f>IF(B58=1,IF((B51-B59)&lt;(IF((B56-B59)&gt;0,(B56-B59),0)*B8),(B51-B59),(IF((B56-B59)&gt;0,(B56-B59),0)*B8)),0)</f>
        <v>35.001253017013454</v>
      </c>
      <c r="C60" s="6">
        <f>IF(C58=1,IF((C51-C59)&lt;(IF((C56-C59)&gt;0,(C56-C59),0)*C8),(C51-C59),(IF((C56-C59)&gt;0,(C56-C59),0)*C8)),0)</f>
        <v>35.001253017013454</v>
      </c>
      <c r="D60" s="6">
        <f>IF(D58=1,IF((D51-D59)&lt;(IF((D56-D59)&gt;0,(D56-D59),0)*D8),(D51-D59),(IF((D56-D59)&gt;0,(D56-D59),0)*D8)),0)</f>
        <v>35.001253017013454</v>
      </c>
    </row>
    <row r="61" spans="1:4" ht="26.25" customHeight="1">
      <c r="A61" s="1" t="s">
        <v>291</v>
      </c>
      <c r="B61" s="6">
        <f>B51-B59-B60</f>
        <v>545.8160577511607</v>
      </c>
      <c r="C61" s="6">
        <f>C51-C59-C60</f>
        <v>545.8160577511607</v>
      </c>
      <c r="D61" s="6">
        <f>D51-D59-D60</f>
        <v>545.8160577511607</v>
      </c>
    </row>
    <row r="62" spans="1:4" ht="26.25" customHeight="1">
      <c r="A62" s="1" t="s">
        <v>292</v>
      </c>
      <c r="B62" s="6">
        <f>B54+B55-B59-B60</f>
        <v>5.0</v>
      </c>
      <c r="C62" s="6">
        <f>C54+C55-C59-C60</f>
        <v>5.0</v>
      </c>
      <c r="D62" s="6">
        <f>D54+D55-D59-D60</f>
        <v>5.0</v>
      </c>
    </row>
    <row r="63" spans="1:4" ht="26.25" customHeight="1">
      <c r="A63" s="1" t="s">
        <v>293</v>
      </c>
      <c r="B63" s="6">
        <f>IF((B57-B56)&gt;0,(B57-B56),0)</f>
        <v>0</v>
      </c>
      <c r="C63" s="6">
        <f>IF((C57-C56)&gt;0,(C57-C56),0)</f>
        <v>0</v>
      </c>
      <c r="D63" s="6">
        <f>IF((D57-D56)&gt;0,(D57-D56),0)</f>
        <v>0</v>
      </c>
    </row>
    <row r="64" spans="1:4" ht="26.25" customHeight="1">
      <c r="A64" s="1" t="s">
        <v>294</v>
      </c>
      <c r="B64" s="6">
        <f>'WD40_DCF_base'!E4+0</f>
        <v>740.8701089699427</v>
      </c>
      <c r="C64" s="6">
        <f>'WD40_DCF_base'!E4+0</f>
        <v>740.8701089699427</v>
      </c>
      <c r="D64" s="6">
        <f>'WD40_DCF_base'!E4+0</f>
        <v>740.8701089699427</v>
      </c>
    </row>
    <row r="65" spans="1:4" ht="26.25" customHeight="1">
      <c r="A65" s="1" t="s">
        <v>295</v>
      </c>
      <c r="B65" s="6">
        <f>'WD40_DCF_base'!E6+0</f>
        <v>139.60011494056673</v>
      </c>
      <c r="C65" s="6">
        <f>'WD40_DCF_base'!E6+0</f>
        <v>139.60011494056673</v>
      </c>
      <c r="D65" s="6">
        <f>'WD40_DCF_base'!E6+0</f>
        <v>139.60011494056673</v>
      </c>
    </row>
    <row r="66" spans="1:4" ht="26.25" customHeight="1">
      <c r="A66" s="1" t="s">
        <v>296</v>
      </c>
      <c r="B66" s="6">
        <f>B65-(B64*B19)</f>
        <v>136.89149202173505</v>
      </c>
      <c r="C66" s="6">
        <f>C65-(C64*C19)</f>
        <v>136.89149202173505</v>
      </c>
      <c r="D66" s="6">
        <f>D65-(D64*D19)</f>
        <v>136.89149202173505</v>
      </c>
    </row>
    <row r="67" spans="1:4" ht="26.25" customHeight="1">
      <c r="A67" s="1" t="s">
        <v>297</v>
      </c>
      <c r="B67" s="6">
        <f>B66+(B64*B20)</f>
        <v>146.67957893121317</v>
      </c>
      <c r="C67" s="6">
        <f>C66+(C64*C20)</f>
        <v>146.67957893121317</v>
      </c>
      <c r="D67" s="6">
        <f>D66+(D64*D20)</f>
        <v>146.67957893121317</v>
      </c>
    </row>
    <row r="68" spans="1:4" ht="26.25" customHeight="1">
      <c r="A68" s="1" t="s">
        <v>298</v>
      </c>
      <c r="B68" s="6">
        <f>'WD40_DCF_base'!E11+0</f>
        <v>85.81064000054128</v>
      </c>
      <c r="C68" s="6">
        <f>'WD40_DCF_base'!E11+0</f>
        <v>85.81064000054128</v>
      </c>
      <c r="D68" s="6">
        <f>'WD40_DCF_base'!E11+0</f>
        <v>85.81064000054128</v>
      </c>
    </row>
    <row r="69" spans="1:4" ht="26.25" customHeight="1">
      <c r="A69" s="1" t="s">
        <v>299</v>
      </c>
      <c r="B69" s="10">
        <f>'WD40_DCF_base'!E7+0</f>
        <v>0.22200027552004406</v>
      </c>
      <c r="C69" s="10">
        <f>'WD40_DCF_base'!E7+0</f>
        <v>0.22200027552004406</v>
      </c>
      <c r="D69" s="10">
        <f>'WD40_DCF_base'!E7+0</f>
        <v>0.22200027552004406</v>
      </c>
    </row>
    <row r="70" spans="1:4" ht="26.25" customHeight="1">
      <c r="A70" s="1" t="s">
        <v>300</v>
      </c>
      <c r="B70" s="6">
        <f>B61+0</f>
        <v>545.8160577511607</v>
      </c>
      <c r="C70" s="6">
        <f>C61+0</f>
        <v>545.8160577511607</v>
      </c>
      <c r="D70" s="6">
        <f>D61+0</f>
        <v>545.8160577511607</v>
      </c>
    </row>
    <row r="71" spans="1:4" ht="26.25" customHeight="1">
      <c r="A71" s="1" t="s">
        <v>301</v>
      </c>
      <c r="B71" s="6">
        <f>B70*B5</f>
        <v>43.665284620092855</v>
      </c>
      <c r="C71" s="6">
        <f>C70*C5</f>
        <v>43.665284620092855</v>
      </c>
      <c r="D71" s="6">
        <f>D70*D5</f>
        <v>43.665284620092855</v>
      </c>
    </row>
    <row r="72" spans="1:4" ht="26.25" customHeight="1">
      <c r="A72" s="1" t="s">
        <v>302</v>
      </c>
      <c r="B72" s="6">
        <f>IF(B71&lt;IF(B66&gt;0,B66,0),B71,IF(B66&gt;0,B66,0))*B69</f>
        <v>9.693705216321757</v>
      </c>
      <c r="C72" s="6">
        <f>IF(C71&lt;IF(C66&gt;0,C66,0),C71,IF(C66&gt;0,C66,0))*C69</f>
        <v>9.693705216321757</v>
      </c>
      <c r="D72" s="6">
        <f>IF(D71&lt;IF(D66&gt;0,D66,0),D71,IF(D66&gt;0,D66,0))*D69</f>
        <v>9.693705216321757</v>
      </c>
    </row>
    <row r="73" spans="1:4" ht="26.25" customHeight="1">
      <c r="A73" s="1" t="s">
        <v>303</v>
      </c>
      <c r="B73" s="6">
        <f>B62+0</f>
        <v>5.0</v>
      </c>
      <c r="C73" s="6">
        <f>C62+0</f>
        <v>5.0</v>
      </c>
      <c r="D73" s="6">
        <f>D62+0</f>
        <v>5.0</v>
      </c>
    </row>
    <row r="74" spans="1:4" ht="26.25" customHeight="1">
      <c r="A74" s="1" t="s">
        <v>304</v>
      </c>
      <c r="B74" s="6">
        <f>B68-B71+B72</f>
        <v>51.83906059677018</v>
      </c>
      <c r="C74" s="6">
        <f>C68-C71+C72</f>
        <v>51.83906059677018</v>
      </c>
      <c r="D74" s="6">
        <f>D68-D71+D72</f>
        <v>51.83906059677018</v>
      </c>
    </row>
    <row r="75" spans="1:4" ht="26.25" customHeight="1">
      <c r="A75" s="1" t="s">
        <v>305</v>
      </c>
      <c r="B75" s="6">
        <f>B73+B74-B7</f>
        <v>51.83906059677018</v>
      </c>
      <c r="C75" s="6">
        <f>C73+C74-C7</f>
        <v>51.83906059677018</v>
      </c>
      <c r="D75" s="6">
        <f>D73+D74-D7</f>
        <v>51.83906059677018</v>
      </c>
    </row>
    <row r="76" spans="1:4" ht="26.25" customHeight="1">
      <c r="A76" s="1" t="s">
        <v>306</v>
      </c>
      <c r="B76" s="6">
        <f>IF(B70&lt;(B22*B9),B70,(B22*B9))</f>
        <v>6.159120000000001</v>
      </c>
      <c r="C76" s="6">
        <f>IF(C70&lt;(C22*C9),C70,(C22*C9))</f>
        <v>6.159120000000001</v>
      </c>
      <c r="D76" s="6">
        <f>IF(D70&lt;(D22*D9),D70,(D22*D9))</f>
        <v>6.159120000000001</v>
      </c>
    </row>
    <row r="77" spans="1:4" ht="26.25" customHeight="1">
      <c r="A77" s="1" t="s">
        <v>307</v>
      </c>
      <c r="B77" s="13">
        <f>IF(B75&gt;=B76,1,0)</f>
        <v>1</v>
      </c>
      <c r="C77" s="13">
        <f>IF(C75&gt;=C76,1,0)</f>
        <v>1</v>
      </c>
      <c r="D77" s="13">
        <f>IF(D75&gt;=D76,1,0)</f>
        <v>1</v>
      </c>
    </row>
    <row r="78" spans="1:4" ht="26.25" customHeight="1">
      <c r="A78" s="1" t="s">
        <v>308</v>
      </c>
      <c r="B78" s="6">
        <f>IF(B77=1,B76,IF(B75&gt;0,B75,0))</f>
        <v>6.159120000000001</v>
      </c>
      <c r="C78" s="6">
        <f>IF(C77=1,C76,IF(C75&gt;0,C75,0))</f>
        <v>6.159120000000001</v>
      </c>
      <c r="D78" s="6">
        <f>IF(D77=1,D76,IF(D75&gt;0,D75,0))</f>
        <v>6.159120000000001</v>
      </c>
    </row>
    <row r="79" spans="1:4" ht="26.25" customHeight="1">
      <c r="A79" s="1" t="s">
        <v>309</v>
      </c>
      <c r="B79" s="6">
        <f>IF(B77=1,IF((B70-B78)&lt;(IF((B75-B78)&gt;0,(B75-B78),0)*B8),(B70-B78),(IF((B75-B78)&gt;0,(B75-B78),0)*B8)),0)</f>
        <v>45.67994059677018</v>
      </c>
      <c r="C79" s="6">
        <f>IF(C77=1,IF((C70-C78)&lt;(IF((C75-C78)&gt;0,(C75-C78),0)*C8),(C70-C78),(IF((C75-C78)&gt;0,(C75-C78),0)*C8)),0)</f>
        <v>45.67994059677018</v>
      </c>
      <c r="D79" s="6">
        <f>IF(D77=1,IF((D70-D78)&lt;(IF((D75-D78)&gt;0,(D75-D78),0)*D8),(D70-D78),(IF((D75-D78)&gt;0,(D75-D78),0)*D8)),0)</f>
        <v>45.67994059677018</v>
      </c>
    </row>
    <row r="80" spans="1:4" ht="26.25" customHeight="1">
      <c r="A80" s="1" t="s">
        <v>310</v>
      </c>
      <c r="B80" s="6">
        <f>B70-B78-B79</f>
        <v>493.97699715439046</v>
      </c>
      <c r="C80" s="6">
        <f>C70-C78-C79</f>
        <v>493.97699715439046</v>
      </c>
      <c r="D80" s="6">
        <f>D70-D78-D79</f>
        <v>493.97699715439046</v>
      </c>
    </row>
    <row r="81" spans="1:4" ht="26.25" customHeight="1">
      <c r="A81" s="1" t="s">
        <v>311</v>
      </c>
      <c r="B81" s="6">
        <f>B73+B74-B78-B79</f>
        <v>5.0</v>
      </c>
      <c r="C81" s="6">
        <f>C73+C74-C78-C79</f>
        <v>5.0</v>
      </c>
      <c r="D81" s="6">
        <f>D73+D74-D78-D79</f>
        <v>5.0</v>
      </c>
    </row>
    <row r="82" spans="1:4" ht="26.25" customHeight="1">
      <c r="A82" s="1" t="s">
        <v>312</v>
      </c>
      <c r="B82" s="6">
        <f>IF((B76-B75)&gt;0,(B76-B75),0)</f>
        <v>0</v>
      </c>
      <c r="C82" s="6">
        <f>IF((C76-C75)&gt;0,(C76-C75),0)</f>
        <v>0</v>
      </c>
      <c r="D82" s="6">
        <f>IF((D76-D75)&gt;0,(D76-D75),0)</f>
        <v>0</v>
      </c>
    </row>
    <row r="83" spans="1:4" ht="26.25" customHeight="1">
      <c r="A83" s="1" t="s">
        <v>313</v>
      </c>
      <c r="B83" s="6">
        <f>'WD40_DCF_base'!F4+0</f>
        <v>786.4665308911224</v>
      </c>
      <c r="C83" s="6">
        <f>'WD40_DCF_base'!F4+0</f>
        <v>786.4665308911224</v>
      </c>
      <c r="D83" s="6">
        <f>'WD40_DCF_base'!F4+0</f>
        <v>786.4665308911224</v>
      </c>
    </row>
    <row r="84" spans="1:4" ht="26.25" customHeight="1">
      <c r="A84" s="1" t="s">
        <v>314</v>
      </c>
      <c r="B84" s="6">
        <f>'WD40_DCF_base'!F6+0</f>
        <v>152.74251468484823</v>
      </c>
      <c r="C84" s="6">
        <f>'WD40_DCF_base'!F6+0</f>
        <v>152.74251468484823</v>
      </c>
      <c r="D84" s="6">
        <f>'WD40_DCF_base'!F6+0</f>
        <v>152.74251468484823</v>
      </c>
    </row>
    <row r="85" spans="1:4" ht="26.25" customHeight="1">
      <c r="A85" s="1" t="s">
        <v>315</v>
      </c>
      <c r="B85" s="6">
        <f>B84-(B83*B19)</f>
        <v>149.8671911366658</v>
      </c>
      <c r="C85" s="6">
        <f>C84-(C83*C19)</f>
        <v>149.8671911366658</v>
      </c>
      <c r="D85" s="6">
        <f>D84-(D83*D19)</f>
        <v>149.8671911366658</v>
      </c>
    </row>
    <row r="86" spans="1:4" ht="26.25" customHeight="1">
      <c r="A86" s="1" t="s">
        <v>316</v>
      </c>
      <c r="B86" s="6">
        <f>B85+(B83*B20)</f>
        <v>160.2576801880609</v>
      </c>
      <c r="C86" s="6">
        <f>C85+(C83*C20)</f>
        <v>160.2576801880609</v>
      </c>
      <c r="D86" s="6">
        <f>D85+(D83*D20)</f>
        <v>160.2576801880609</v>
      </c>
    </row>
    <row r="87" spans="1:4" ht="26.25" customHeight="1">
      <c r="A87" s="1" t="s">
        <v>317</v>
      </c>
      <c r="B87" s="6">
        <f>'WD40_DCF_base'!F11+0</f>
        <v>94.63232068631791</v>
      </c>
      <c r="C87" s="6">
        <f>'WD40_DCF_base'!F11+0</f>
        <v>94.63232068631791</v>
      </c>
      <c r="D87" s="6">
        <f>'WD40_DCF_base'!F11+0</f>
        <v>94.63232068631791</v>
      </c>
    </row>
    <row r="88" spans="1:4" ht="26.25" customHeight="1">
      <c r="A88" s="1" t="s">
        <v>318</v>
      </c>
      <c r="B88" s="10">
        <f>'WD40_DCF_base'!F7+0</f>
        <v>0.22200027552004406</v>
      </c>
      <c r="C88" s="10">
        <f>'WD40_DCF_base'!F7+0</f>
        <v>0.22200027552004406</v>
      </c>
      <c r="D88" s="10">
        <f>'WD40_DCF_base'!F7+0</f>
        <v>0.22200027552004406</v>
      </c>
    </row>
    <row r="89" spans="1:4" ht="26.25" customHeight="1">
      <c r="A89" s="1" t="s">
        <v>319</v>
      </c>
      <c r="B89" s="6">
        <f>B80+0</f>
        <v>493.97699715439046</v>
      </c>
      <c r="C89" s="6">
        <f>C80+0</f>
        <v>493.97699715439046</v>
      </c>
      <c r="D89" s="6">
        <f>D80+0</f>
        <v>493.97699715439046</v>
      </c>
    </row>
    <row r="90" spans="1:4" ht="26.25" customHeight="1">
      <c r="A90" s="1" t="s">
        <v>320</v>
      </c>
      <c r="B90" s="6">
        <f>B89*B5</f>
        <v>39.51815977235124</v>
      </c>
      <c r="C90" s="6">
        <f>C89*C5</f>
        <v>39.51815977235124</v>
      </c>
      <c r="D90" s="6">
        <f>D89*D5</f>
        <v>39.51815977235124</v>
      </c>
    </row>
    <row r="91" spans="1:4" ht="26.25" customHeight="1">
      <c r="A91" s="1" t="s">
        <v>321</v>
      </c>
      <c r="B91" s="6">
        <f>IF(B90&lt;IF(B85&gt;0,B85,0),B90,IF(B85&gt;0,B85,0))*B88</f>
        <v>8.773042357507096</v>
      </c>
      <c r="C91" s="6">
        <f>IF(C90&lt;IF(C85&gt;0,C85,0),C90,IF(C85&gt;0,C85,0))*C88</f>
        <v>8.773042357507096</v>
      </c>
      <c r="D91" s="6">
        <f>IF(D90&lt;IF(D85&gt;0,D85,0),D90,IF(D85&gt;0,D85,0))*D88</f>
        <v>8.773042357507096</v>
      </c>
    </row>
    <row r="92" spans="1:4" ht="26.25" customHeight="1">
      <c r="A92" s="1" t="s">
        <v>322</v>
      </c>
      <c r="B92" s="6">
        <f>B81+0</f>
        <v>5.0</v>
      </c>
      <c r="C92" s="6">
        <f>C81+0</f>
        <v>5.0</v>
      </c>
      <c r="D92" s="6">
        <f>D81+0</f>
        <v>5.0</v>
      </c>
    </row>
    <row r="93" spans="1:4" ht="26.25" customHeight="1">
      <c r="A93" s="1" t="s">
        <v>323</v>
      </c>
      <c r="B93" s="6">
        <f>B87-B90+B91</f>
        <v>63.887203271473766</v>
      </c>
      <c r="C93" s="6">
        <f>C87-C90+C91</f>
        <v>63.887203271473766</v>
      </c>
      <c r="D93" s="6">
        <f>D87-D90+D91</f>
        <v>63.887203271473766</v>
      </c>
    </row>
    <row r="94" spans="1:4" ht="26.25" customHeight="1">
      <c r="A94" s="1" t="s">
        <v>324</v>
      </c>
      <c r="B94" s="6">
        <f>B92+B93-B7</f>
        <v>63.887203271473766</v>
      </c>
      <c r="C94" s="6">
        <f>C92+C93-C7</f>
        <v>63.887203271473766</v>
      </c>
      <c r="D94" s="6">
        <f>D92+D93-D7</f>
        <v>63.887203271473766</v>
      </c>
    </row>
    <row r="95" spans="1:4" ht="26.25" customHeight="1">
      <c r="A95" s="1" t="s">
        <v>325</v>
      </c>
      <c r="B95" s="6">
        <f>IF(B89&lt;(B22*B9),B89,(B22*B9))</f>
        <v>6.159120000000001</v>
      </c>
      <c r="C95" s="6">
        <f>IF(C89&lt;(C22*C9),C89,(C22*C9))</f>
        <v>6.159120000000001</v>
      </c>
      <c r="D95" s="6">
        <f>IF(D89&lt;(D22*D9),D89,(D22*D9))</f>
        <v>6.159120000000001</v>
      </c>
    </row>
    <row r="96" spans="1:4" ht="26.25" customHeight="1">
      <c r="A96" s="1" t="s">
        <v>326</v>
      </c>
      <c r="B96" s="13">
        <f>IF(B94&gt;=B95,1,0)</f>
        <v>1</v>
      </c>
      <c r="C96" s="13">
        <f>IF(C94&gt;=C95,1,0)</f>
        <v>1</v>
      </c>
      <c r="D96" s="13">
        <f>IF(D94&gt;=D95,1,0)</f>
        <v>1</v>
      </c>
    </row>
    <row r="97" spans="1:4" ht="26.25" customHeight="1">
      <c r="A97" s="1" t="s">
        <v>327</v>
      </c>
      <c r="B97" s="6">
        <f>IF(B96=1,B95,IF(B94&gt;0,B94,0))</f>
        <v>6.159120000000001</v>
      </c>
      <c r="C97" s="6">
        <f>IF(C96=1,C95,IF(C94&gt;0,C94,0))</f>
        <v>6.159120000000001</v>
      </c>
      <c r="D97" s="6">
        <f>IF(D96=1,D95,IF(D94&gt;0,D94,0))</f>
        <v>6.159120000000001</v>
      </c>
    </row>
    <row r="98" spans="1:4" ht="26.25" customHeight="1">
      <c r="A98" s="1" t="s">
        <v>328</v>
      </c>
      <c r="B98" s="6">
        <f>IF(B96=1,IF((B89-B97)&lt;(IF((B94-B97)&gt;0,(B94-B97),0)*B8),(B89-B97),(IF((B94-B97)&gt;0,(B94-B97),0)*B8)),0)</f>
        <v>57.728083271473764</v>
      </c>
      <c r="C98" s="6">
        <f>IF(C96=1,IF((C89-C97)&lt;(IF((C94-C97)&gt;0,(C94-C97),0)*C8),(C89-C97),(IF((C94-C97)&gt;0,(C94-C97),0)*C8)),0)</f>
        <v>57.728083271473764</v>
      </c>
      <c r="D98" s="6">
        <f>IF(D96=1,IF((D89-D97)&lt;(IF((D94-D97)&gt;0,(D94-D97),0)*D8),(D89-D97),(IF((D94-D97)&gt;0,(D94-D97),0)*D8)),0)</f>
        <v>57.728083271473764</v>
      </c>
    </row>
    <row r="99" spans="1:4" ht="26.25" customHeight="1">
      <c r="A99" s="1" t="s">
        <v>329</v>
      </c>
      <c r="B99" s="6">
        <f>B89-B97-B98</f>
        <v>430.08979388291675</v>
      </c>
      <c r="C99" s="6">
        <f>C89-C97-C98</f>
        <v>430.08979388291675</v>
      </c>
      <c r="D99" s="6">
        <f>D89-D97-D98</f>
        <v>430.08979388291675</v>
      </c>
    </row>
    <row r="100" spans="1:4" ht="26.25" customHeight="1">
      <c r="A100" s="1" t="s">
        <v>330</v>
      </c>
      <c r="B100" s="6">
        <f>B92+B93-B97-B98</f>
        <v>5.0</v>
      </c>
      <c r="C100" s="6">
        <f>C92+C93-C97-C98</f>
        <v>5.0</v>
      </c>
      <c r="D100" s="6">
        <f>D92+D93-D97-D98</f>
        <v>5.0</v>
      </c>
    </row>
    <row r="101" spans="1:4" ht="26.25" customHeight="1">
      <c r="A101" s="1" t="s">
        <v>331</v>
      </c>
      <c r="B101" s="6">
        <f>IF((B95-B94)&gt;0,(B95-B94),0)</f>
        <v>0</v>
      </c>
      <c r="C101" s="6">
        <f>IF((C95-C94)&gt;0,(C95-C94),0)</f>
        <v>0</v>
      </c>
      <c r="D101" s="6">
        <f>IF((D95-D94)&gt;0,(D95-D94),0)</f>
        <v>0</v>
      </c>
    </row>
    <row r="102" spans="1:4" ht="26.25" customHeight="1">
      <c r="A102" s="1" t="s">
        <v>332</v>
      </c>
      <c r="B102" s="6">
        <f>'WD40_DCF_base'!G4+0</f>
        <v>834.8691582008616</v>
      </c>
      <c r="C102" s="6">
        <f>'WD40_DCF_base'!G4+0</f>
        <v>834.8691582008616</v>
      </c>
      <c r="D102" s="6">
        <f>'WD40_DCF_base'!G4+0</f>
        <v>834.8691582008616</v>
      </c>
    </row>
    <row r="103" spans="1:4" ht="26.25" customHeight="1">
      <c r="A103" s="1" t="s">
        <v>333</v>
      </c>
      <c r="B103" s="6">
        <f>'WD40_DCF_base'!G6+0</f>
        <v>166.97383164017234</v>
      </c>
      <c r="C103" s="6">
        <f>'WD40_DCF_base'!G6+0</f>
        <v>166.97383164017234</v>
      </c>
      <c r="D103" s="6">
        <f>'WD40_DCF_base'!G6+0</f>
        <v>166.97383164017234</v>
      </c>
    </row>
    <row r="104" spans="1:4" ht="26.25" customHeight="1">
      <c r="A104" s="1" t="s">
        <v>334</v>
      </c>
      <c r="B104" s="6">
        <f>B103-(B102*B19)</f>
        <v>163.92154796891907</v>
      </c>
      <c r="C104" s="6">
        <f>C103-(C102*C19)</f>
        <v>163.92154796891907</v>
      </c>
      <c r="D104" s="6">
        <f>D103-(D102*D19)</f>
        <v>163.92154796891907</v>
      </c>
    </row>
    <row r="105" spans="1:4" ht="26.25" customHeight="1">
      <c r="A105" s="1" t="s">
        <v>335</v>
      </c>
      <c r="B105" s="6">
        <f>B104+(B102*B20)</f>
        <v>174.95151365328766</v>
      </c>
      <c r="C105" s="6">
        <f>C104+(C102*C20)</f>
        <v>174.95151365328766</v>
      </c>
      <c r="D105" s="6">
        <f>D104+(D102*D20)</f>
        <v>174.95151365328766</v>
      </c>
    </row>
    <row r="106" spans="1:4" ht="26.25" customHeight="1">
      <c r="A106" s="1" t="s">
        <v>336</v>
      </c>
      <c r="B106" s="6">
        <f>'WD40_DCF_base'!G11+0</f>
        <v>107.26580652221341</v>
      </c>
      <c r="C106" s="6">
        <f>'WD40_DCF_base'!G11+0</f>
        <v>107.26580652221341</v>
      </c>
      <c r="D106" s="6">
        <f>'WD40_DCF_base'!G11+0</f>
        <v>107.26580652221341</v>
      </c>
    </row>
    <row r="107" spans="1:4" ht="26.25" customHeight="1">
      <c r="A107" s="1" t="s">
        <v>337</v>
      </c>
      <c r="B107" s="10">
        <f>'WD40_DCF_base'!G7+0</f>
        <v>0.22200027552004406</v>
      </c>
      <c r="C107" s="10">
        <f>'WD40_DCF_base'!G7+0</f>
        <v>0.22200027552004406</v>
      </c>
      <c r="D107" s="10">
        <f>'WD40_DCF_base'!G7+0</f>
        <v>0.22200027552004406</v>
      </c>
    </row>
    <row r="108" spans="1:4" ht="26.25" customHeight="1">
      <c r="A108" s="1" t="s">
        <v>338</v>
      </c>
      <c r="B108" s="6">
        <f>B99+0</f>
        <v>430.08979388291675</v>
      </c>
      <c r="C108" s="6">
        <f>C99+0</f>
        <v>430.08979388291675</v>
      </c>
      <c r="D108" s="6">
        <f>D99+0</f>
        <v>430.08979388291675</v>
      </c>
    </row>
    <row r="109" spans="1:4" ht="26.25" customHeight="1">
      <c r="A109" s="1" t="s">
        <v>339</v>
      </c>
      <c r="B109" s="6">
        <f>B108*B5</f>
        <v>34.40718351063334</v>
      </c>
      <c r="C109" s="6">
        <f>C108*C5</f>
        <v>34.40718351063334</v>
      </c>
      <c r="D109" s="6">
        <f>D108*D5</f>
        <v>34.40718351063334</v>
      </c>
    </row>
    <row r="110" spans="1:4" ht="26.25" customHeight="1">
      <c r="A110" s="1" t="s">
        <v>340</v>
      </c>
      <c r="B110" s="6">
        <f>IF(B109&lt;IF(B104&gt;0,B104,0),B109,IF(B104&gt;0,B104,0))*B107</f>
        <v>7.638404219229318</v>
      </c>
      <c r="C110" s="6">
        <f>IF(C109&lt;IF(C104&gt;0,C104,0),C109,IF(C104&gt;0,C104,0))*C107</f>
        <v>7.638404219229318</v>
      </c>
      <c r="D110" s="6">
        <f>IF(D109&lt;IF(D104&gt;0,D104,0),D109,IF(D104&gt;0,D104,0))*D107</f>
        <v>7.638404219229318</v>
      </c>
    </row>
    <row r="111" spans="1:4" ht="26.25" customHeight="1">
      <c r="A111" s="1" t="s">
        <v>341</v>
      </c>
      <c r="B111" s="6">
        <f>B100+0</f>
        <v>5.0</v>
      </c>
      <c r="C111" s="6">
        <f>C100+0</f>
        <v>5.0</v>
      </c>
      <c r="D111" s="6">
        <f>D100+0</f>
        <v>5.0</v>
      </c>
    </row>
    <row r="112" spans="1:4" ht="26.25" customHeight="1">
      <c r="A112" s="1" t="s">
        <v>342</v>
      </c>
      <c r="B112" s="6">
        <f>B106-B109+B110</f>
        <v>80.4970272308094</v>
      </c>
      <c r="C112" s="6">
        <f>C106-C109+C110</f>
        <v>80.4970272308094</v>
      </c>
      <c r="D112" s="6">
        <f>D106-D109+D110</f>
        <v>80.4970272308094</v>
      </c>
    </row>
    <row r="113" spans="1:4" ht="26.25" customHeight="1">
      <c r="A113" s="1" t="s">
        <v>343</v>
      </c>
      <c r="B113" s="6">
        <f>B111+B112-B7</f>
        <v>80.4970272308094</v>
      </c>
      <c r="C113" s="6">
        <f>C111+C112-C7</f>
        <v>80.4970272308094</v>
      </c>
      <c r="D113" s="6">
        <f>D111+D112-D7</f>
        <v>80.4970272308094</v>
      </c>
    </row>
    <row r="114" spans="1:4" ht="26.25" customHeight="1">
      <c r="A114" s="1" t="s">
        <v>344</v>
      </c>
      <c r="B114" s="6">
        <f>IF(B108&lt;(B22*B9),B108,(B22*B9))</f>
        <v>6.159120000000001</v>
      </c>
      <c r="C114" s="6">
        <f>IF(C108&lt;(C22*C9),C108,(C22*C9))</f>
        <v>6.159120000000001</v>
      </c>
      <c r="D114" s="6">
        <f>IF(D108&lt;(D22*D9),D108,(D22*D9))</f>
        <v>6.159120000000001</v>
      </c>
    </row>
    <row r="115" spans="1:4" ht="26.25" customHeight="1">
      <c r="A115" s="1" t="s">
        <v>345</v>
      </c>
      <c r="B115" s="13">
        <f>IF(B113&gt;=B114,1,0)</f>
        <v>1</v>
      </c>
      <c r="C115" s="13">
        <f>IF(C113&gt;=C114,1,0)</f>
        <v>1</v>
      </c>
      <c r="D115" s="13">
        <f>IF(D113&gt;=D114,1,0)</f>
        <v>1</v>
      </c>
    </row>
    <row r="116" spans="1:4" ht="26.25" customHeight="1">
      <c r="A116" s="1" t="s">
        <v>346</v>
      </c>
      <c r="B116" s="6">
        <f>IF(B115=1,B114,IF(B113&gt;0,B113,0))</f>
        <v>6.159120000000001</v>
      </c>
      <c r="C116" s="6">
        <f>IF(C115=1,C114,IF(C113&gt;0,C113,0))</f>
        <v>6.159120000000001</v>
      </c>
      <c r="D116" s="6">
        <f>IF(D115=1,D114,IF(D113&gt;0,D113,0))</f>
        <v>6.159120000000001</v>
      </c>
    </row>
    <row r="117" spans="1:4" ht="26.25" customHeight="1">
      <c r="A117" s="1" t="s">
        <v>347</v>
      </c>
      <c r="B117" s="6">
        <f>IF(B115=1,IF((B108-B116)&lt;(IF((B113-B116)&gt;0,(B113-B116),0)*B8),(B108-B116),(IF((B113-B116)&gt;0,(B113-B116),0)*B8)),0)</f>
        <v>74.33790723080939</v>
      </c>
      <c r="C117" s="6">
        <f>IF(C115=1,IF((C108-C116)&lt;(IF((C113-C116)&gt;0,(C113-C116),0)*C8),(C108-C116),(IF((C113-C116)&gt;0,(C113-C116),0)*C8)),0)</f>
        <v>74.33790723080939</v>
      </c>
      <c r="D117" s="6">
        <f>IF(D115=1,IF((D108-D116)&lt;(IF((D113-D116)&gt;0,(D113-D116),0)*D8),(D108-D116),(IF((D113-D116)&gt;0,(D113-D116),0)*D8)),0)</f>
        <v>74.33790723080939</v>
      </c>
    </row>
    <row r="118" spans="1:4" ht="26.25" customHeight="1">
      <c r="A118" s="1" t="s">
        <v>348</v>
      </c>
      <c r="B118" s="6">
        <f>B108-B116-B117</f>
        <v>349.5927666521074</v>
      </c>
      <c r="C118" s="6">
        <f>C108-C116-C117</f>
        <v>349.5927666521074</v>
      </c>
      <c r="D118" s="6">
        <f>D108-D116-D117</f>
        <v>349.5927666521074</v>
      </c>
    </row>
    <row r="119" spans="1:4" ht="26.25" customHeight="1">
      <c r="A119" s="1" t="s">
        <v>349</v>
      </c>
      <c r="B119" s="6">
        <f>B111+B112-B116-B117</f>
        <v>5.0</v>
      </c>
      <c r="C119" s="6">
        <f>C111+C112-C116-C117</f>
        <v>5.0</v>
      </c>
      <c r="D119" s="6">
        <f>D111+D112-D116-D117</f>
        <v>5.0</v>
      </c>
    </row>
    <row r="120" spans="1:4" ht="26.25" customHeight="1">
      <c r="A120" s="1" t="s">
        <v>350</v>
      </c>
      <c r="B120" s="6">
        <f>IF((B114-B113)&gt;0,(B114-B113),0)</f>
        <v>0</v>
      </c>
      <c r="C120" s="6">
        <f>IF((C114-C113)&gt;0,(C114-C113),0)</f>
        <v>0</v>
      </c>
      <c r="D120" s="6">
        <f>IF((D114-D113)&gt;0,(D114-D113),0)</f>
        <v>0</v>
      </c>
    </row>
    <row r="121" spans="1:4" ht="26.25" customHeight="1">
      <c r="A121" s="1" t="s">
        <v>351</v>
      </c>
      <c r="B121" s="6">
        <f>B105*B6</f>
        <v>2449.321191146027</v>
      </c>
      <c r="C121" s="6">
        <f>C105*C6</f>
        <v>2449.321191146027</v>
      </c>
      <c r="D121" s="6">
        <f>D105*D6</f>
        <v>2449.321191146027</v>
      </c>
    </row>
    <row r="122" spans="1:4" ht="26.25" customHeight="1">
      <c r="A122" s="1" t="s">
        <v>352</v>
      </c>
      <c r="B122" s="6">
        <f>B121*B10</f>
        <v>48.98642382292054</v>
      </c>
      <c r="C122" s="6">
        <f>C121*C10</f>
        <v>48.98642382292054</v>
      </c>
      <c r="D122" s="6">
        <f>D121*D10</f>
        <v>48.98642382292054</v>
      </c>
    </row>
    <row r="123" spans="1:4" ht="26.25" customHeight="1">
      <c r="A123" s="1" t="s">
        <v>353</v>
      </c>
      <c r="B123" s="6">
        <f>IF((B121-B122-B118+B119)&gt;0,(B121-B122-B118+B119),0)</f>
        <v>2055.742000670999</v>
      </c>
      <c r="C123" s="6">
        <f>IF((C121-C122-C118+C119)&gt;0,(C121-C122-C118+C119),0)</f>
        <v>2055.742000670999</v>
      </c>
      <c r="D123" s="6">
        <f>IF((D121-D122-D118+D119)&gt;0,(D121-D122-D118+D119),0)</f>
        <v>2055.742000670999</v>
      </c>
    </row>
    <row r="124" spans="1:4" ht="26.25" customHeight="1">
      <c r="A124" s="1" t="s">
        <v>354</v>
      </c>
      <c r="B124" s="6">
        <f>B123/((1+B2)^B3)</f>
        <v>673.625538779873</v>
      </c>
      <c r="C124" s="6">
        <f>C123/((1+C2)^C3)</f>
        <v>826.156603921923</v>
      </c>
      <c r="D124" s="6">
        <f>D123/((1+D2)^D3)</f>
        <v>917.8659854962976</v>
      </c>
    </row>
    <row r="125" spans="1:4" ht="26.25" customHeight="1">
      <c r="A125" s="1" t="s">
        <v>355</v>
      </c>
      <c r="B125" s="6">
        <f>(B17*(1+B11))-(B18*B11)+(B22*B12)+B25-B22-B23</f>
        <v>-569.15146</v>
      </c>
      <c r="C125" s="6">
        <f>(C17*(1+C11))-(C18*C11)+(C22*C12)+C25-C22-C23</f>
        <v>-569.15146</v>
      </c>
      <c r="D125" s="6">
        <f>(D17*(1+D11))-(D18*D11)+(D22*D12)+D25-D22-D23</f>
        <v>-569.15146</v>
      </c>
    </row>
    <row r="126" spans="1:4" ht="26.25" customHeight="1">
      <c r="A126" s="1" t="s">
        <v>356</v>
      </c>
      <c r="B126" s="6">
        <f>(B124-B125)/(B16*(1+B11))</f>
        <v>89.37030132355025</v>
      </c>
      <c r="C126" s="6">
        <f>(C124-C125)/(C16*(1+C11))</f>
        <v>100.33908113387052</v>
      </c>
      <c r="D126" s="6">
        <f>(D124-D125)/(D16*(1+D11))</f>
        <v>106.93406565124172</v>
      </c>
    </row>
    <row r="127" spans="1:4" ht="26.25" customHeight="1">
      <c r="A127" s="1" t="s">
        <v>357</v>
      </c>
      <c r="B127" s="3">
        <f>IF(B3=5,IF(0+B39+B58+B77+B96+B115=5,IF(IF(B126&gt;400,400,B126)&gt;=50,IF(B126&gt;400,400,B126),"No solution in grid"),"Blocked: funding shortfall"),"Blocked: this schedule requires 5 years")</f>
        <v>89.37030132355025</v>
      </c>
      <c r="C127" s="3">
        <f>IF(C3=5,IF(0+C39+C58+C77+C96+C115=5,IF(IF(C126&gt;400,400,C126)&gt;=50,IF(C126&gt;400,400,C126),"No solution in grid"),"Blocked: funding shortfall"),"Blocked: this schedule requires 5 years")</f>
        <v>100.33908113387052</v>
      </c>
      <c r="D127" s="3">
        <f>IF(D3=5,IF(0+D39+D58+D77+D96+D115=5,IF(IF(D126&gt;400,400,D126)&gt;=50,IF(D126&gt;400,400,D126),"No solution in grid"),"Blocked: funding shortfall"),"Blocked: this schedule requires 5 years")</f>
        <v>106.93406565124172</v>
      </c>
    </row>
    <row r="128" spans="1:4" ht="26.25" customHeight="1">
      <c r="A128" s="1" t="s">
        <v>358</v>
      </c>
      <c r="B128" s="6">
        <f>B127*B16</f>
        <v>1218.4088223332087</v>
      </c>
      <c r="C128" s="6">
        <f>C127*C16</f>
        <v>1367.949082276395</v>
      </c>
      <c r="D128" s="6">
        <f>D127*D16</f>
        <v>1457.8602406826446</v>
      </c>
    </row>
    <row r="129" spans="1:4" ht="26.25" customHeight="1">
      <c r="A129" s="1" t="s">
        <v>359</v>
      </c>
      <c r="B129" s="6">
        <f>B128+B17-B18</f>
        <v>1247.2738223332085</v>
      </c>
      <c r="C129" s="6">
        <f>C128+C17-C18</f>
        <v>1396.8140822763949</v>
      </c>
      <c r="D129" s="6">
        <f>D128+D17-D18</f>
        <v>1486.7252406826447</v>
      </c>
    </row>
    <row r="130" spans="1:4" ht="26.25" customHeight="1">
      <c r="A130" s="1" t="s">
        <v>360</v>
      </c>
      <c r="B130" s="6">
        <f>IF(B129&gt;0,B129,0)*B11</f>
        <v>24.94547644666417</v>
      </c>
      <c r="C130" s="6">
        <f>IF(C129&gt;0,C129,0)*C11</f>
        <v>27.9362816455279</v>
      </c>
      <c r="D130" s="6">
        <f>IF(D129&gt;0,D129,0)*D11</f>
        <v>29.734504813652894</v>
      </c>
    </row>
    <row r="131" spans="1:4" ht="26.25" customHeight="1">
      <c r="A131" s="1" t="s">
        <v>361</v>
      </c>
      <c r="B131" s="6">
        <f>B22*B12</f>
        <v>12.318240000000001</v>
      </c>
      <c r="C131" s="6">
        <f>C22*C12</f>
        <v>12.318240000000001</v>
      </c>
      <c r="D131" s="6">
        <f>D22*D12</f>
        <v>12.318240000000001</v>
      </c>
    </row>
    <row r="132" spans="1:4" ht="26.25" customHeight="1">
      <c r="A132" s="1" t="s">
        <v>362</v>
      </c>
      <c r="B132" s="6">
        <f>B128+B17+B130+B131+B25</f>
        <v>1342.6675387798728</v>
      </c>
      <c r="C132" s="6">
        <f>C128+C17+C130+C131+C25</f>
        <v>1495.198603921923</v>
      </c>
      <c r="D132" s="6">
        <f>D128+D17+D130+D131+D25</f>
        <v>1586.9079854962977</v>
      </c>
    </row>
    <row r="133" spans="1:4" ht="26.25" customHeight="1">
      <c r="A133" s="1" t="s">
        <v>363</v>
      </c>
      <c r="B133" s="6">
        <f>B132-B22-B23</f>
        <v>673.6255387798727</v>
      </c>
      <c r="C133" s="6">
        <f>C132-C22-C23</f>
        <v>826.156603921923</v>
      </c>
      <c r="D133" s="6">
        <f>D132-D22-D23</f>
        <v>917.8659854962976</v>
      </c>
    </row>
    <row r="134" spans="1:4" ht="26.25" customHeight="1">
      <c r="A134" s="1" t="s">
        <v>364</v>
      </c>
      <c r="B134" s="6">
        <f>B22+B23+B133</f>
        <v>1342.6675387798728</v>
      </c>
      <c r="C134" s="6">
        <f>C22+C23+C133</f>
        <v>1495.198603921923</v>
      </c>
      <c r="D134" s="6">
        <f>D22+D23+D133</f>
        <v>1586.9079854962977</v>
      </c>
    </row>
    <row r="135" spans="1:4" ht="26.25" customHeight="1">
      <c r="A135" s="1" t="s">
        <v>365</v>
      </c>
      <c r="B135" s="6">
        <f>B134-B132</f>
        <v>0.0</v>
      </c>
      <c r="C135" s="6">
        <f>C134-C132</f>
        <v>0.0</v>
      </c>
      <c r="D135" s="6">
        <f>D134-D132</f>
        <v>0.0</v>
      </c>
    </row>
    <row r="136" spans="1:4" ht="26.25" customHeight="1">
      <c r="A136" s="1" t="s">
        <v>366</v>
      </c>
      <c r="B136" s="6">
        <f>B123/B133</f>
        <v>3.051757812500001</v>
      </c>
      <c r="C136" s="6">
        <f>C123/C133</f>
        <v>2.4883199999999994</v>
      </c>
      <c r="D136" s="6">
        <f>D123/D133</f>
        <v>2.2396973339843753</v>
      </c>
    </row>
    <row r="137" spans="1:4" ht="26.25" customHeight="1">
      <c r="A137" s="1" t="s">
        <v>367</v>
      </c>
      <c r="B137" s="14">
        <f>B136^(1/B3)-1</f>
        <v>0.25</v>
      </c>
      <c r="C137" s="14">
        <f>C136^(1/C3)-1</f>
        <v>0.19999999999999996</v>
      </c>
      <c r="D137" s="14">
        <f>D136^(1/D3)-1</f>
        <v>0.17500000000000004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D73"/>
  <sheetViews>
    <sheetView workbookViewId="0" showGridLines="0">
      <pane xSplit="1" ySplit="1" topLeftCell="B2" activePane="bottomRight" state="frozen"/>
      <selection pane="bottomRight" activeCell="B2" sqref="B2"/>
    </sheetView>
  </sheetViews>
  <sheetFormatPr defaultRowHeight="15"/>
  <cols>
    <col min="1" max="1" width="65.7109375" customWidth="1"/>
    <col min="2" max="4" width="31.7109375" customWidth="1"/>
  </cols>
  <sheetData>
    <row r="1" spans="1:4" ht="36" customHeight="1">
      <c r="A1" s="1" t="s">
        <v>443</v>
      </c>
      <c r="B1" s="2" t="s">
        <v>369</v>
      </c>
      <c r="C1" s="2" t="s">
        <v>370</v>
      </c>
      <c r="D1" s="2" t="s">
        <v>371</v>
      </c>
    </row>
    <row r="2" spans="1:4" ht="26.25" customHeight="1">
      <c r="A2" s="1" t="s">
        <v>372</v>
      </c>
      <c r="B2" s="8">
        <v>3.76</v>
      </c>
      <c r="C2" s="8">
        <v>3.76</v>
      </c>
      <c r="D2" s="8">
        <v>3.76</v>
      </c>
    </row>
    <row r="3" spans="1:4" ht="26.25" customHeight="1">
      <c r="A3" s="1" t="s">
        <v>373</v>
      </c>
      <c r="B3" s="9">
        <v>0.05</v>
      </c>
      <c r="C3" s="9">
        <v>0.07000000000000001</v>
      </c>
      <c r="D3" s="9">
        <v>0.09</v>
      </c>
    </row>
    <row r="4" spans="1:4" ht="26.25" customHeight="1">
      <c r="A4" s="1" t="s">
        <v>374</v>
      </c>
      <c r="B4" s="9">
        <v>0.025</v>
      </c>
      <c r="C4" s="9">
        <v>0.025</v>
      </c>
      <c r="D4" s="9">
        <v>0.025</v>
      </c>
    </row>
    <row r="5" spans="1:4" ht="26.25" customHeight="1">
      <c r="A5" s="1" t="s">
        <v>375</v>
      </c>
      <c r="B5" s="9">
        <v>0.095</v>
      </c>
      <c r="C5" s="9">
        <v>0.09</v>
      </c>
      <c r="D5" s="9">
        <v>0.08499999999999999</v>
      </c>
    </row>
    <row r="6" spans="1:4" ht="26.25" customHeight="1">
      <c r="A6" s="1" t="s">
        <v>376</v>
      </c>
      <c r="B6" s="11">
        <v>10</v>
      </c>
      <c r="C6" s="11">
        <v>10</v>
      </c>
      <c r="D6" s="11">
        <v>10</v>
      </c>
    </row>
    <row r="7" spans="1:4" ht="26.25" customHeight="1">
      <c r="A7" s="1" t="s">
        <v>119</v>
      </c>
      <c r="B7" s="6">
        <f>'WD40_Inputs_base'!B9+0</f>
        <v>13.633263</v>
      </c>
      <c r="C7" s="6">
        <f>'WD40_Inputs_base'!B9+0</f>
        <v>13.633263</v>
      </c>
      <c r="D7" s="6">
        <f>'WD40_Inputs_base'!B9+0</f>
        <v>13.633263</v>
      </c>
    </row>
    <row r="8" spans="1:4" ht="26.25" customHeight="1">
      <c r="A8" s="1" t="s">
        <v>377</v>
      </c>
      <c r="B8" s="8">
        <v>3.441</v>
      </c>
      <c r="C8" s="8">
        <v>3.441</v>
      </c>
      <c r="D8" s="8">
        <v>3.441</v>
      </c>
    </row>
    <row r="9" spans="1:4" ht="26.25" customHeight="1">
      <c r="A9" s="1" t="s">
        <v>378</v>
      </c>
      <c r="B9" s="6">
        <f>B2*((1+B3)^1)</f>
        <v>3.948</v>
      </c>
      <c r="C9" s="6">
        <f>C2*((1+C3)^1)</f>
        <v>4.0232</v>
      </c>
      <c r="D9" s="6">
        <f>D2*((1+D3)^1)</f>
        <v>4.0984</v>
      </c>
    </row>
    <row r="10" spans="1:4" ht="26.25" customHeight="1">
      <c r="A10" s="1" t="s">
        <v>379</v>
      </c>
      <c r="B10" s="6">
        <f>1/((1+B5)^1)</f>
        <v>0.9132420091324202</v>
      </c>
      <c r="C10" s="6">
        <f>1/((1+C5)^1)</f>
        <v>0.9174311926605504</v>
      </c>
      <c r="D10" s="6">
        <f>1/((1+D5)^1)</f>
        <v>0.9216589861751152</v>
      </c>
    </row>
    <row r="11" spans="1:4" ht="26.25" customHeight="1">
      <c r="A11" s="1" t="s">
        <v>380</v>
      </c>
      <c r="B11" s="6">
        <f>B9*B10</f>
        <v>3.605479452054795</v>
      </c>
      <c r="C11" s="6">
        <f>C9*C10</f>
        <v>3.6910091743119264</v>
      </c>
      <c r="D11" s="6">
        <f>D9*D10</f>
        <v>3.777327188940092</v>
      </c>
    </row>
    <row r="12" spans="1:4" ht="26.25" customHeight="1">
      <c r="A12" s="1" t="s">
        <v>381</v>
      </c>
      <c r="B12" s="6">
        <f>'WD40_DCF_base'!C11+0-(B8*(1-'WD40_DCF_base'!C7+0))</f>
        <v>64.59282148420222</v>
      </c>
      <c r="C12" s="6">
        <f>'WD40_DCF_base'!C11+0-(C8*(1-'WD40_DCF_base'!C7+0))</f>
        <v>64.59282148420222</v>
      </c>
      <c r="D12" s="6">
        <f>'WD40_DCF_base'!C11+0-(D8*(1-'WD40_DCF_base'!C7+0))</f>
        <v>64.59282148420222</v>
      </c>
    </row>
    <row r="13" spans="1:4" ht="26.25" customHeight="1">
      <c r="A13" s="1" t="s">
        <v>382</v>
      </c>
      <c r="B13" s="6">
        <f>B9*B7</f>
        <v>53.824122323999994</v>
      </c>
      <c r="C13" s="6">
        <f>C9*C7</f>
        <v>54.8493437016</v>
      </c>
      <c r="D13" s="6">
        <f>D9*D7</f>
        <v>55.874565079199996</v>
      </c>
    </row>
    <row r="14" spans="1:4" ht="26.25" customHeight="1">
      <c r="A14" s="1" t="s">
        <v>383</v>
      </c>
      <c r="B14" s="13">
        <f>IF(B13&lt;=B12,1,0)</f>
        <v>1</v>
      </c>
      <c r="C14" s="13">
        <f>IF(C13&lt;=C12,1,0)</f>
        <v>1</v>
      </c>
      <c r="D14" s="13">
        <f>IF(D13&lt;=D12,1,0)</f>
        <v>1</v>
      </c>
    </row>
    <row r="15" spans="1:4" ht="26.25" customHeight="1">
      <c r="A15" s="1" t="s">
        <v>384</v>
      </c>
      <c r="B15" s="6">
        <f>B2*((1+B3)^2)</f>
        <v>4.1453999999999995</v>
      </c>
      <c r="C15" s="6">
        <f>C2*((1+C3)^2)</f>
        <v>4.304824</v>
      </c>
      <c r="D15" s="6">
        <f>D2*((1+D3)^2)</f>
        <v>4.467256</v>
      </c>
    </row>
    <row r="16" spans="1:4" ht="26.25" customHeight="1">
      <c r="A16" s="1" t="s">
        <v>385</v>
      </c>
      <c r="B16" s="6">
        <f>1/((1+B5)^2)</f>
        <v>0.8340109672442193</v>
      </c>
      <c r="C16" s="6">
        <f>1/((1+C5)^2)</f>
        <v>0.84167999326656</v>
      </c>
      <c r="D16" s="6">
        <f>1/((1+D5)^2)</f>
        <v>0.8494552867973413</v>
      </c>
    </row>
    <row r="17" spans="1:4" ht="26.25" customHeight="1">
      <c r="A17" s="1" t="s">
        <v>386</v>
      </c>
      <c r="B17" s="6">
        <f>B15*B16</f>
        <v>3.4573090636141863</v>
      </c>
      <c r="C17" s="6">
        <f>C15*C16</f>
        <v>3.623284235333726</v>
      </c>
      <c r="D17" s="6">
        <f>D15*D16</f>
        <v>3.7947342266771433</v>
      </c>
    </row>
    <row r="18" spans="1:4" ht="26.25" customHeight="1">
      <c r="A18" s="1" t="s">
        <v>387</v>
      </c>
      <c r="B18" s="6">
        <f>'WD40_DCF_base'!D11+0-(B8*(1-'WD40_DCF_base'!D7+0))</f>
        <v>75.01667607818732</v>
      </c>
      <c r="C18" s="6">
        <f>'WD40_DCF_base'!D11+0-(C8*(1-'WD40_DCF_base'!D7+0))</f>
        <v>75.01667607818732</v>
      </c>
      <c r="D18" s="6">
        <f>'WD40_DCF_base'!D11+0-(D8*(1-'WD40_DCF_base'!D7+0))</f>
        <v>75.01667607818732</v>
      </c>
    </row>
    <row r="19" spans="1:4" ht="26.25" customHeight="1">
      <c r="A19" s="1" t="s">
        <v>388</v>
      </c>
      <c r="B19" s="6">
        <f>B15*B7</f>
        <v>56.515328440199994</v>
      </c>
      <c r="C19" s="6">
        <f>C15*C7</f>
        <v>58.688797760712</v>
      </c>
      <c r="D19" s="6">
        <f>D15*D7</f>
        <v>60.903275936327994</v>
      </c>
    </row>
    <row r="20" spans="1:4" ht="26.25" customHeight="1">
      <c r="A20" s="1" t="s">
        <v>389</v>
      </c>
      <c r="B20" s="13">
        <f>IF(B19&lt;=B18,1,0)</f>
        <v>1</v>
      </c>
      <c r="C20" s="13">
        <f>IF(C19&lt;=C18,1,0)</f>
        <v>1</v>
      </c>
      <c r="D20" s="13">
        <f>IF(D19&lt;=D18,1,0)</f>
        <v>1</v>
      </c>
    </row>
    <row r="21" spans="1:4" ht="26.25" customHeight="1">
      <c r="A21" s="1" t="s">
        <v>390</v>
      </c>
      <c r="B21" s="6">
        <f>B2*((1+B3)^3)</f>
        <v>4.35267</v>
      </c>
      <c r="C21" s="6">
        <f>C2*((1+C3)^3)</f>
        <v>4.6061616800000005</v>
      </c>
      <c r="D21" s="6">
        <f>D2*((1+D3)^3)</f>
        <v>4.86930904</v>
      </c>
    </row>
    <row r="22" spans="1:4" ht="26.25" customHeight="1">
      <c r="A22" s="1" t="s">
        <v>391</v>
      </c>
      <c r="B22" s="6">
        <f>1/((1+B5)^3)</f>
        <v>0.7616538513645839</v>
      </c>
      <c r="C22" s="6">
        <f>1/((1+C5)^3)</f>
        <v>0.7721834800610642</v>
      </c>
      <c r="D22" s="6">
        <f>1/((1+D5)^3)</f>
        <v>0.7829080984307294</v>
      </c>
    </row>
    <row r="23" spans="1:4" ht="26.25" customHeight="1">
      <c r="A23" s="1" t="s">
        <v>392</v>
      </c>
      <c r="B23" s="6">
        <f>B21*B22</f>
        <v>3.315227869219083</v>
      </c>
      <c r="C23" s="6">
        <f>C21*C22</f>
        <v>3.556801955786318</v>
      </c>
      <c r="D23" s="6">
        <f>D21*D22</f>
        <v>3.8122214811779607</v>
      </c>
    </row>
    <row r="24" spans="1:4" ht="26.25" customHeight="1">
      <c r="A24" s="1" t="s">
        <v>393</v>
      </c>
      <c r="B24" s="6">
        <f>'WD40_DCF_base'!E11+0-(B8*(1-'WD40_DCF_base'!E7+0))</f>
        <v>83.13354294860575</v>
      </c>
      <c r="C24" s="6">
        <f>'WD40_DCF_base'!E11+0-(C8*(1-'WD40_DCF_base'!E7+0))</f>
        <v>83.13354294860575</v>
      </c>
      <c r="D24" s="6">
        <f>'WD40_DCF_base'!E11+0-(D8*(1-'WD40_DCF_base'!E7+0))</f>
        <v>83.13354294860575</v>
      </c>
    </row>
    <row r="25" spans="1:4" ht="26.25" customHeight="1">
      <c r="A25" s="1" t="s">
        <v>394</v>
      </c>
      <c r="B25" s="6">
        <f>B21*B7</f>
        <v>59.34109486220999</v>
      </c>
      <c r="C25" s="6">
        <f>C21*C7</f>
        <v>62.797013603961844</v>
      </c>
      <c r="D25" s="6">
        <f>D21*D7</f>
        <v>66.38457077059752</v>
      </c>
    </row>
    <row r="26" spans="1:4" ht="26.25" customHeight="1">
      <c r="A26" s="1" t="s">
        <v>395</v>
      </c>
      <c r="B26" s="13">
        <f>IF(B25&lt;=B24,1,0)</f>
        <v>1</v>
      </c>
      <c r="C26" s="13">
        <f>IF(C25&lt;=C24,1,0)</f>
        <v>1</v>
      </c>
      <c r="D26" s="13">
        <f>IF(D25&lt;=D24,1,0)</f>
        <v>1</v>
      </c>
    </row>
    <row r="27" spans="1:4" ht="26.25" customHeight="1">
      <c r="A27" s="1" t="s">
        <v>396</v>
      </c>
      <c r="B27" s="6">
        <f>B2*((1+B3)^4)</f>
        <v>4.5703035000000005</v>
      </c>
      <c r="C27" s="6">
        <f>C2*((1+C3)^4)</f>
        <v>4.928592997600001</v>
      </c>
      <c r="D27" s="6">
        <f>D2*((1+D3)^4)</f>
        <v>5.307546853600002</v>
      </c>
    </row>
    <row r="28" spans="1:4" ht="26.25" customHeight="1">
      <c r="A28" s="1" t="s">
        <v>397</v>
      </c>
      <c r="B28" s="6">
        <f>1/((1+B5)^4)</f>
        <v>0.6955742934836383</v>
      </c>
      <c r="C28" s="6">
        <f>1/((1+C5)^4)</f>
        <v>0.7084252110651963</v>
      </c>
      <c r="D28" s="6">
        <f>1/((1+D5)^4)</f>
        <v>0.7215742842679533</v>
      </c>
    </row>
    <row r="29" spans="1:4" ht="26.25" customHeight="1">
      <c r="A29" s="1" t="s">
        <v>398</v>
      </c>
      <c r="B29" s="6">
        <f>B27*B28</f>
        <v>3.1789856280182995</v>
      </c>
      <c r="C29" s="6">
        <f>C27*C28</f>
        <v>3.4915395345792293</v>
      </c>
      <c r="D29" s="6">
        <f>D27*D28</f>
        <v>3.8297893221050487</v>
      </c>
    </row>
    <row r="30" spans="1:4" ht="26.25" customHeight="1">
      <c r="A30" s="1" t="s">
        <v>399</v>
      </c>
      <c r="B30" s="6">
        <f>'WD40_DCF_base'!F11+0-(B8*(1-'WD40_DCF_base'!F7+0))</f>
        <v>91.95522363438238</v>
      </c>
      <c r="C30" s="6">
        <f>'WD40_DCF_base'!F11+0-(C8*(1-'WD40_DCF_base'!F7+0))</f>
        <v>91.95522363438238</v>
      </c>
      <c r="D30" s="6">
        <f>'WD40_DCF_base'!F11+0-(D8*(1-'WD40_DCF_base'!F7+0))</f>
        <v>91.95522363438238</v>
      </c>
    </row>
    <row r="31" spans="1:4" ht="26.25" customHeight="1">
      <c r="A31" s="1" t="s">
        <v>400</v>
      </c>
      <c r="B31" s="6">
        <f>B27*B7</f>
        <v>62.3081496053205</v>
      </c>
      <c r="C31" s="6">
        <f>C27*C7</f>
        <v>67.19280455623918</v>
      </c>
      <c r="D31" s="6">
        <f>D27*D7</f>
        <v>72.35918213995132</v>
      </c>
    </row>
    <row r="32" spans="1:4" ht="26.25" customHeight="1">
      <c r="A32" s="1" t="s">
        <v>401</v>
      </c>
      <c r="B32" s="13">
        <f>IF(B31&lt;=B30,1,0)</f>
        <v>1</v>
      </c>
      <c r="C32" s="13">
        <f>IF(C31&lt;=C30,1,0)</f>
        <v>1</v>
      </c>
      <c r="D32" s="13">
        <f>IF(D31&lt;=D30,1,0)</f>
        <v>1</v>
      </c>
    </row>
    <row r="33" spans="1:4" ht="26.25" customHeight="1">
      <c r="A33" s="1" t="s">
        <v>402</v>
      </c>
      <c r="B33" s="6">
        <f>B2*((1+B3)^5)</f>
        <v>4.7988186750000015</v>
      </c>
      <c r="C33" s="6">
        <f>C2*((1+C3)^5)</f>
        <v>5.273594507432001</v>
      </c>
      <c r="D33" s="6">
        <f>D2*((1+D3)^5)</f>
        <v>5.7852260704240015</v>
      </c>
    </row>
    <row r="34" spans="1:4" ht="26.25" customHeight="1">
      <c r="A34" s="1" t="s">
        <v>403</v>
      </c>
      <c r="B34" s="6">
        <f>1/((1+B5)^5)</f>
        <v>0.6352276652818615</v>
      </c>
      <c r="C34" s="6">
        <f>1/((1+C5)^5)</f>
        <v>0.6499313862983452</v>
      </c>
      <c r="D34" s="6">
        <f>1/((1+D5)^5)</f>
        <v>0.6650454232884362</v>
      </c>
    </row>
    <row r="35" spans="1:4" ht="26.25" customHeight="1">
      <c r="A35" s="1" t="s">
        <v>404</v>
      </c>
      <c r="B35" s="6">
        <f>B33*B34</f>
        <v>3.048342383031247</v>
      </c>
      <c r="C35" s="6">
        <f>C33*C34</f>
        <v>3.42747458899062</v>
      </c>
      <c r="D35" s="6">
        <f>D33*D34</f>
        <v>3.8474381208244264</v>
      </c>
    </row>
    <row r="36" spans="1:4" ht="26.25" customHeight="1">
      <c r="A36" s="1" t="s">
        <v>405</v>
      </c>
      <c r="B36" s="6">
        <f>'WD40_DCF_base'!G11+0-(B8*(1-'WD40_DCF_base'!G7+0))</f>
        <v>104.58870947027788</v>
      </c>
      <c r="C36" s="6">
        <f>'WD40_DCF_base'!G11+0-(C8*(1-'WD40_DCF_base'!G7+0))</f>
        <v>104.58870947027788</v>
      </c>
      <c r="D36" s="6">
        <f>'WD40_DCF_base'!G11+0-(D8*(1-'WD40_DCF_base'!G7+0))</f>
        <v>104.58870947027788</v>
      </c>
    </row>
    <row r="37" spans="1:4" ht="26.25" customHeight="1">
      <c r="A37" s="1" t="s">
        <v>406</v>
      </c>
      <c r="B37" s="6">
        <f>B33*B7</f>
        <v>65.42355708558654</v>
      </c>
      <c r="C37" s="6">
        <f>C33*C7</f>
        <v>71.89630087517592</v>
      </c>
      <c r="D37" s="6">
        <f>D33*D7</f>
        <v>78.87150853254693</v>
      </c>
    </row>
    <row r="38" spans="1:4" ht="26.25" customHeight="1">
      <c r="A38" s="1" t="s">
        <v>407</v>
      </c>
      <c r="B38" s="13">
        <f>IF(B37&lt;=B36,1,0)</f>
        <v>1</v>
      </c>
      <c r="C38" s="13">
        <f>IF(C37&lt;=C36,1,0)</f>
        <v>1</v>
      </c>
      <c r="D38" s="13">
        <f>IF(D37&lt;=D36,1,0)</f>
        <v>1</v>
      </c>
    </row>
    <row r="39" spans="1:4" ht="26.25" customHeight="1">
      <c r="A39" s="1" t="s">
        <v>408</v>
      </c>
      <c r="B39" s="6">
        <f>B2*((1+B3)^6)</f>
        <v>5.038759608750001</v>
      </c>
      <c r="C39" s="6">
        <f>C2*((1+C3)^6)</f>
        <v>5.642746122952242</v>
      </c>
      <c r="D39" s="6">
        <f>D2*((1+D3)^6)</f>
        <v>6.305896416762162</v>
      </c>
    </row>
    <row r="40" spans="1:4" ht="26.25" customHeight="1">
      <c r="A40" s="1" t="s">
        <v>409</v>
      </c>
      <c r="B40" s="6">
        <f>1/((1+B5)^6)</f>
        <v>0.5801165892985036</v>
      </c>
      <c r="C40" s="6">
        <f>1/((1+C5)^6)</f>
        <v>0.5962673268792158</v>
      </c>
      <c r="D40" s="6">
        <f>1/((1+D5)^6)</f>
        <v>0.6129450905884205</v>
      </c>
    </row>
    <row r="41" spans="1:4" ht="26.25" customHeight="1">
      <c r="A41" s="1" t="s">
        <v>410</v>
      </c>
      <c r="B41" s="6">
        <f>B39*B40</f>
        <v>2.9230680385231134</v>
      </c>
      <c r="C41" s="6">
        <f>C39*C40</f>
        <v>3.364585146990792</v>
      </c>
      <c r="D41" s="6">
        <f>D39*D40</f>
        <v>3.86516825041348</v>
      </c>
    </row>
    <row r="42" spans="1:4" ht="26.25" customHeight="1">
      <c r="A42" s="1" t="s">
        <v>411</v>
      </c>
      <c r="B42" s="6">
        <f>'WD40_DCF_base'!H11+0-(B8*(1-'WD40_DCF_base'!H7+0))</f>
        <v>112.65629319299454</v>
      </c>
      <c r="C42" s="6">
        <f>'WD40_DCF_base'!H11+0-(C8*(1-'WD40_DCF_base'!H7+0))</f>
        <v>112.65629319299454</v>
      </c>
      <c r="D42" s="6">
        <f>'WD40_DCF_base'!H11+0-(D8*(1-'WD40_DCF_base'!H7+0))</f>
        <v>112.65629319299454</v>
      </c>
    </row>
    <row r="43" spans="1:4" ht="26.25" customHeight="1">
      <c r="A43" s="1" t="s">
        <v>412</v>
      </c>
      <c r="B43" s="6">
        <f>B39*B7</f>
        <v>68.69473493986587</v>
      </c>
      <c r="C43" s="6">
        <f>C39*C7</f>
        <v>76.92904193643825</v>
      </c>
      <c r="D43" s="6">
        <f>D39*D7</f>
        <v>85.96994430047616</v>
      </c>
    </row>
    <row r="44" spans="1:4" ht="26.25" customHeight="1">
      <c r="A44" s="1" t="s">
        <v>413</v>
      </c>
      <c r="B44" s="13">
        <f>IF(B43&lt;=B42,1,0)</f>
        <v>1</v>
      </c>
      <c r="C44" s="13">
        <f>IF(C43&lt;=C42,1,0)</f>
        <v>1</v>
      </c>
      <c r="D44" s="13">
        <f>IF(D43&lt;=D42,1,0)</f>
        <v>1</v>
      </c>
    </row>
    <row r="45" spans="1:4" ht="26.25" customHeight="1">
      <c r="A45" s="1" t="s">
        <v>414</v>
      </c>
      <c r="B45" s="6">
        <f>B2*((1+B3)^7)</f>
        <v>5.290697589187501</v>
      </c>
      <c r="C45" s="6">
        <f>C2*((1+C3)^7)</f>
        <v>6.0377383515588985</v>
      </c>
      <c r="D45" s="6">
        <f>D2*((1+D3)^7)</f>
        <v>6.873427094270757</v>
      </c>
    </row>
    <row r="46" spans="1:4" ht="26.25" customHeight="1">
      <c r="A46" s="1" t="s">
        <v>415</v>
      </c>
      <c r="B46" s="6">
        <f>1/((1+B5)^7)</f>
        <v>0.5297868395420124</v>
      </c>
      <c r="C46" s="6">
        <f>1/((1+C5)^7)</f>
        <v>0.5470342448433172</v>
      </c>
      <c r="D46" s="6">
        <f>1/((1+D5)^7)</f>
        <v>0.5649263507727378</v>
      </c>
    </row>
    <row r="47" spans="1:4" ht="26.25" customHeight="1">
      <c r="A47" s="1" t="s">
        <v>416</v>
      </c>
      <c r="B47" s="6">
        <f>B45*B46</f>
        <v>2.802941954748191</v>
      </c>
      <c r="C47" s="6">
        <f>C45*C46</f>
        <v>3.3028496397065568</v>
      </c>
      <c r="D47" s="6">
        <f>D45*D46</f>
        <v>3.8829800856688412</v>
      </c>
    </row>
    <row r="48" spans="1:4" ht="26.25" customHeight="1">
      <c r="A48" s="1" t="s">
        <v>417</v>
      </c>
      <c r="B48" s="6">
        <f>'WD40_DCF_base'!I11+0-(B8*(1-'WD40_DCF_base'!I7+0))</f>
        <v>120.42224308911898</v>
      </c>
      <c r="C48" s="6">
        <f>'WD40_DCF_base'!I11+0-(C8*(1-'WD40_DCF_base'!I7+0))</f>
        <v>120.42224308911898</v>
      </c>
      <c r="D48" s="6">
        <f>'WD40_DCF_base'!I11+0-(D8*(1-'WD40_DCF_base'!I7+0))</f>
        <v>120.42224308911898</v>
      </c>
    </row>
    <row r="49" spans="1:4" ht="26.25" customHeight="1">
      <c r="A49" s="1" t="s">
        <v>418</v>
      </c>
      <c r="B49" s="6">
        <f>B45*B7</f>
        <v>72.12947168685916</v>
      </c>
      <c r="C49" s="6">
        <f>C45*C7</f>
        <v>82.31407487198892</v>
      </c>
      <c r="D49" s="6">
        <f>D45*D7</f>
        <v>93.70723928751902</v>
      </c>
    </row>
    <row r="50" spans="1:4" ht="26.25" customHeight="1">
      <c r="A50" s="1" t="s">
        <v>419</v>
      </c>
      <c r="B50" s="13">
        <f>IF(B49&lt;=B48,1,0)</f>
        <v>1</v>
      </c>
      <c r="C50" s="13">
        <f>IF(C49&lt;=C48,1,0)</f>
        <v>1</v>
      </c>
      <c r="D50" s="13">
        <f>IF(D49&lt;=D48,1,0)</f>
        <v>1</v>
      </c>
    </row>
    <row r="51" spans="1:4" ht="26.25" customHeight="1">
      <c r="A51" s="1" t="s">
        <v>420</v>
      </c>
      <c r="B51" s="6">
        <f>B2*((1+B3)^8)</f>
        <v>5.555232468646877</v>
      </c>
      <c r="C51" s="6">
        <f>C2*((1+C3)^8)</f>
        <v>6.460380036168022</v>
      </c>
      <c r="D51" s="6">
        <f>D2*((1+D3)^8)</f>
        <v>7.492035532755127</v>
      </c>
    </row>
    <row r="52" spans="1:4" ht="26.25" customHeight="1">
      <c r="A52" s="1" t="s">
        <v>421</v>
      </c>
      <c r="B52" s="6">
        <f>1/((1+B5)^8)</f>
        <v>0.4838235977552625</v>
      </c>
      <c r="C52" s="6">
        <f>1/((1+C5)^8)</f>
        <v>0.501866279672768</v>
      </c>
      <c r="D52" s="6">
        <f>1/((1+D5)^8)</f>
        <v>0.520669447716809</v>
      </c>
    </row>
    <row r="53" spans="1:4" ht="26.25" customHeight="1">
      <c r="A53" s="1" t="s">
        <v>422</v>
      </c>
      <c r="B53" s="6">
        <f>B51*B52</f>
        <v>2.6877525593475804</v>
      </c>
      <c r="C53" s="6">
        <f>C51*C52</f>
        <v>3.2422468940238676</v>
      </c>
      <c r="D53" s="6">
        <f>D51*D52</f>
        <v>3.9008740031143208</v>
      </c>
    </row>
    <row r="54" spans="1:4" ht="26.25" customHeight="1">
      <c r="A54" s="1" t="s">
        <v>423</v>
      </c>
      <c r="B54" s="6">
        <f>'WD40_DCF_base'!J11+0-(B8*(1-'WD40_DCF_base'!J7+0))</f>
        <v>127.74480395980956</v>
      </c>
      <c r="C54" s="6">
        <f>'WD40_DCF_base'!J11+0-(C8*(1-'WD40_DCF_base'!J7+0))</f>
        <v>127.74480395980956</v>
      </c>
      <c r="D54" s="6">
        <f>'WD40_DCF_base'!J11+0-(D8*(1-'WD40_DCF_base'!J7+0))</f>
        <v>127.74480395980956</v>
      </c>
    </row>
    <row r="55" spans="1:4" ht="26.25" customHeight="1">
      <c r="A55" s="1" t="s">
        <v>424</v>
      </c>
      <c r="B55" s="6">
        <f>B51*B7</f>
        <v>75.73594527120213</v>
      </c>
      <c r="C55" s="6">
        <f>C51*C7</f>
        <v>88.07606011302815</v>
      </c>
      <c r="D55" s="6">
        <f>D51*D7</f>
        <v>102.14089082339575</v>
      </c>
    </row>
    <row r="56" spans="1:4" ht="26.25" customHeight="1">
      <c r="A56" s="1" t="s">
        <v>425</v>
      </c>
      <c r="B56" s="13">
        <f>IF(B55&lt;=B54,1,0)</f>
        <v>1</v>
      </c>
      <c r="C56" s="13">
        <f>IF(C55&lt;=C54,1,0)</f>
        <v>1</v>
      </c>
      <c r="D56" s="13">
        <f>IF(D55&lt;=D54,1,0)</f>
        <v>1</v>
      </c>
    </row>
    <row r="57" spans="1:4" ht="26.25" customHeight="1">
      <c r="A57" s="1" t="s">
        <v>426</v>
      </c>
      <c r="B57" s="6">
        <f>B2*((1+B3)^9)</f>
        <v>5.832994092079221</v>
      </c>
      <c r="C57" s="6">
        <f>C2*((1+C3)^9)</f>
        <v>6.912606638699784</v>
      </c>
      <c r="D57" s="6">
        <f>D2*((1+D3)^9)</f>
        <v>8.166318730703088</v>
      </c>
    </row>
    <row r="58" spans="1:4" ht="26.25" customHeight="1">
      <c r="A58" s="1" t="s">
        <v>427</v>
      </c>
      <c r="B58" s="6">
        <f>1/((1+B5)^9)</f>
        <v>0.4418480344796918</v>
      </c>
      <c r="C58" s="6">
        <f>1/((1+C5)^9)</f>
        <v>0.4604277795163009</v>
      </c>
      <c r="D58" s="6">
        <f>1/((1+D5)^9)</f>
        <v>0.4798796753150314</v>
      </c>
    </row>
    <row r="59" spans="1:4" ht="26.25" customHeight="1">
      <c r="A59" s="1" t="s">
        <v>428</v>
      </c>
      <c r="B59" s="6">
        <f>B57*B58</f>
        <v>2.577296974716858</v>
      </c>
      <c r="C59" s="6">
        <f>C57*C58</f>
        <v>3.182756125326182</v>
      </c>
      <c r="D59" s="6">
        <f>D57*D58</f>
        <v>3.918850381008857</v>
      </c>
    </row>
    <row r="60" spans="1:4" ht="26.25" customHeight="1">
      <c r="A60" s="1" t="s">
        <v>429</v>
      </c>
      <c r="B60" s="6">
        <f>'WD40_DCF_base'!K11+0-(B8*(1-'WD40_DCF_base'!K7+0))</f>
        <v>134.4823315285979</v>
      </c>
      <c r="C60" s="6">
        <f>'WD40_DCF_base'!K11+0-(C8*(1-'WD40_DCF_base'!K7+0))</f>
        <v>134.4823315285979</v>
      </c>
      <c r="D60" s="6">
        <f>'WD40_DCF_base'!K11+0-(D8*(1-'WD40_DCF_base'!K7+0))</f>
        <v>134.4823315285979</v>
      </c>
    </row>
    <row r="61" spans="1:4" ht="26.25" customHeight="1">
      <c r="A61" s="1" t="s">
        <v>430</v>
      </c>
      <c r="B61" s="6">
        <f>B57*B7</f>
        <v>79.52274253476223</v>
      </c>
      <c r="C61" s="6">
        <f>C57*C7</f>
        <v>94.24138432094013</v>
      </c>
      <c r="D61" s="6">
        <f>D57*D7</f>
        <v>111.33357099750137</v>
      </c>
    </row>
    <row r="62" spans="1:4" ht="26.25" customHeight="1">
      <c r="A62" s="1" t="s">
        <v>431</v>
      </c>
      <c r="B62" s="13">
        <f>IF(B61&lt;=B60,1,0)</f>
        <v>1</v>
      </c>
      <c r="C62" s="13">
        <f>IF(C61&lt;=C60,1,0)</f>
        <v>1</v>
      </c>
      <c r="D62" s="13">
        <f>IF(D61&lt;=D60,1,0)</f>
        <v>1</v>
      </c>
    </row>
    <row r="63" spans="1:4" ht="26.25" customHeight="1">
      <c r="A63" s="1" t="s">
        <v>432</v>
      </c>
      <c r="B63" s="6">
        <f>B2*((1+B3)^10)</f>
        <v>6.1246437966831815</v>
      </c>
      <c r="C63" s="6">
        <f>C2*((1+C3)^10)</f>
        <v>7.396489103408769</v>
      </c>
      <c r="D63" s="6">
        <f>D2*((1+D3)^10)</f>
        <v>8.901287416466367</v>
      </c>
    </row>
    <row r="64" spans="1:4" ht="26.25" customHeight="1">
      <c r="A64" s="1" t="s">
        <v>433</v>
      </c>
      <c r="B64" s="6">
        <f>1/((1+B5)^10)</f>
        <v>0.40351418673944456</v>
      </c>
      <c r="C64" s="6">
        <f>1/((1+C5)^10)</f>
        <v>0.42241080689568883</v>
      </c>
      <c r="D64" s="6">
        <f>1/((1+D5)^10)</f>
        <v>0.4422854150368954</v>
      </c>
    </row>
    <row r="65" spans="1:4" ht="26.25" customHeight="1">
      <c r="A65" s="1" t="s">
        <v>434</v>
      </c>
      <c r="B65" s="6">
        <f>B63*B64</f>
        <v>2.471380660687398</v>
      </c>
      <c r="C65" s="6">
        <f>C63*C64</f>
        <v>3.1243569303660683</v>
      </c>
      <c r="D65" s="6">
        <f>D63*D64</f>
        <v>3.9369095993545216</v>
      </c>
    </row>
    <row r="66" spans="1:4" ht="26.25" customHeight="1">
      <c r="A66" s="1" t="s">
        <v>435</v>
      </c>
      <c r="B66" s="6">
        <f>'WD40_DCF_base'!L11+0-(B8*(1-'WD40_DCF_base'!L7+0))</f>
        <v>136.79340503879777</v>
      </c>
      <c r="C66" s="6">
        <f>'WD40_DCF_base'!L11+0-(C8*(1-'WD40_DCF_base'!L7+0))</f>
        <v>136.79340503879777</v>
      </c>
      <c r="D66" s="6">
        <f>'WD40_DCF_base'!L11+0-(D8*(1-'WD40_DCF_base'!L7+0))</f>
        <v>136.79340503879777</v>
      </c>
    </row>
    <row r="67" spans="1:4" ht="26.25" customHeight="1">
      <c r="A67" s="1" t="s">
        <v>436</v>
      </c>
      <c r="B67" s="6">
        <f>B63*B7</f>
        <v>83.49887966150034</v>
      </c>
      <c r="C67" s="6">
        <f>C63*C7</f>
        <v>100.83828122340594</v>
      </c>
      <c r="D67" s="6">
        <f>D63*D7</f>
        <v>121.3535923872765</v>
      </c>
    </row>
    <row r="68" spans="1:4" ht="26.25" customHeight="1">
      <c r="A68" s="1" t="s">
        <v>437</v>
      </c>
      <c r="B68" s="13">
        <f>IF(B67&lt;=B66,1,0)</f>
        <v>1</v>
      </c>
      <c r="C68" s="13">
        <f>IF(C67&lt;=C66,1,0)</f>
        <v>1</v>
      </c>
      <c r="D68" s="13">
        <f>IF(D67&lt;=D66,1,0)</f>
        <v>1</v>
      </c>
    </row>
    <row r="69" spans="1:4" ht="26.25" customHeight="1">
      <c r="A69" s="1" t="s">
        <v>438</v>
      </c>
      <c r="B69" s="6">
        <f>B63*(1+B4)</f>
        <v>6.277759891600261</v>
      </c>
      <c r="C69" s="6">
        <f>C63*(1+C4)</f>
        <v>7.581401330993988</v>
      </c>
      <c r="D69" s="6">
        <f>D63*(1+D4)</f>
        <v>9.123819601878026</v>
      </c>
    </row>
    <row r="70" spans="1:4" ht="26.25" customHeight="1">
      <c r="A70" s="1" t="s">
        <v>439</v>
      </c>
      <c r="B70" s="6">
        <f>B69/(B5-B4)</f>
        <v>89.682284165718</v>
      </c>
      <c r="C70" s="6">
        <f>C69/(C5-C4)</f>
        <v>116.63694355375367</v>
      </c>
      <c r="D70" s="6">
        <f>D69/(D5-D4)</f>
        <v>152.06366003130046</v>
      </c>
    </row>
    <row r="71" spans="1:4" ht="26.25" customHeight="1">
      <c r="A71" s="1" t="s">
        <v>440</v>
      </c>
      <c r="B71" s="6">
        <f>B70*B64</f>
        <v>36.188073960065466</v>
      </c>
      <c r="C71" s="6">
        <f>C70*C64</f>
        <v>49.268705440388</v>
      </c>
      <c r="D71" s="6">
        <f>D70*D64</f>
        <v>67.25553898897309</v>
      </c>
    </row>
    <row r="72" spans="1:4" ht="26.25" customHeight="1">
      <c r="A72" s="1" t="s">
        <v>441</v>
      </c>
      <c r="B72" s="3">
        <f>IF(B6=10,IF(B5&gt;B4,0+B11+B17+B23+B29+B35+B41+B47+B53+B59+B65+B71,"Blocked: cost of equity must exceed growth"),"Blocked: this schedule requires 10 years")</f>
        <v>66.25585854402621</v>
      </c>
      <c r="C72" s="3">
        <f>IF(C6=10,IF(C5&gt;C4,0+C11+C17+C23+C29+C35+C41+C47+C53+C59+C65+C71,"Blocked: cost of equity must exceed growth"),"Blocked: this schedule requires 10 years")</f>
        <v>83.27560966580327</v>
      </c>
      <c r="D72" s="3">
        <f>IF(D6=10,IF(D5&gt;D4,0+D11+D17+D23+D29+D35+D41+D47+D53+D59+D65+D71,"Blocked: cost of equity must exceed growth"),"Blocked: this schedule requires 10 years")</f>
        <v>105.82183164825778</v>
      </c>
    </row>
    <row r="73" spans="1:4" ht="26.25" customHeight="1">
      <c r="A73" s="1" t="s">
        <v>442</v>
      </c>
      <c r="B73" s="13">
        <f>0+B14+B20+B26+B32+B38+B44+B50+B56+B62+B68</f>
        <v>10</v>
      </c>
      <c r="C73" s="13">
        <f>0+C14+C20+C26+C32+C38+C44+C50+C56+C62+C68</f>
        <v>10</v>
      </c>
      <c r="D73" s="13">
        <f>0+D14+D20+D26+D32+D38+D44+D50+D56+D62+D68</f>
        <v>10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66"/>
  <sheetViews>
    <sheetView workbookViewId="0" showGridLines="0">
      <pane xSplit="1" ySplit="1" topLeftCell="B2" activePane="bottomRight" state="frozen"/>
      <selection pane="bottomRight" activeCell="B2" sqref="B2"/>
    </sheetView>
  </sheetViews>
  <sheetFormatPr defaultRowHeight="15"/>
  <cols>
    <col min="1" max="1" width="65.7109375" customWidth="1"/>
    <col min="2" max="4" width="31.7109375" customWidth="1"/>
  </cols>
  <sheetData>
    <row r="1" spans="1:4" ht="36" customHeight="1">
      <c r="A1" s="1" t="s">
        <v>508</v>
      </c>
      <c r="B1" s="2" t="s">
        <v>444</v>
      </c>
      <c r="C1" s="2" t="s">
        <v>445</v>
      </c>
      <c r="D1" s="2" t="s">
        <v>446</v>
      </c>
    </row>
    <row r="2" spans="1:4" ht="26.25" customHeight="1">
      <c r="A2" s="1" t="s">
        <v>447</v>
      </c>
      <c r="B2" s="9">
        <v>0.1</v>
      </c>
      <c r="C2" s="9">
        <v>0.2</v>
      </c>
      <c r="D2" s="9">
        <v>0.3</v>
      </c>
    </row>
    <row r="3" spans="1:4" ht="26.25" customHeight="1">
      <c r="A3" s="1" t="s">
        <v>448</v>
      </c>
      <c r="B3" s="8">
        <v>237.55</v>
      </c>
      <c r="C3" s="8">
        <v>237.55</v>
      </c>
      <c r="D3" s="8">
        <v>237.55</v>
      </c>
    </row>
    <row r="4" spans="1:4" ht="26.25" customHeight="1">
      <c r="A4" s="1" t="s">
        <v>449</v>
      </c>
      <c r="B4" s="11">
        <v>3</v>
      </c>
      <c r="C4" s="11">
        <v>3</v>
      </c>
      <c r="D4" s="11">
        <v>3</v>
      </c>
    </row>
    <row r="5" spans="1:4" ht="26.25" customHeight="1">
      <c r="A5" s="1" t="s">
        <v>450</v>
      </c>
      <c r="B5" s="6">
        <f>B3*B2</f>
        <v>23.755000000000003</v>
      </c>
      <c r="C5" s="6">
        <f>C3*C2</f>
        <v>47.510000000000005</v>
      </c>
      <c r="D5" s="6">
        <f>D3*D2</f>
        <v>71.265</v>
      </c>
    </row>
    <row r="6" spans="1:4" ht="26.25" customHeight="1">
      <c r="A6" s="1" t="s">
        <v>451</v>
      </c>
      <c r="B6" s="6">
        <f>'WD40_Inputs_base'!B2+0</f>
        <v>619.985</v>
      </c>
      <c r="C6" s="6">
        <f>'WD40_Inputs_base'!B2+0</f>
        <v>619.985</v>
      </c>
      <c r="D6" s="6">
        <f>'WD40_Inputs_base'!B2+0</f>
        <v>619.985</v>
      </c>
    </row>
    <row r="7" spans="1:4" ht="26.25" customHeight="1">
      <c r="A7" s="1" t="s">
        <v>119</v>
      </c>
      <c r="B7" s="6">
        <f>'WD40_Inputs_base'!B9+0</f>
        <v>13.633263</v>
      </c>
      <c r="C7" s="6">
        <f>'WD40_Inputs_base'!B9+0</f>
        <v>13.633263</v>
      </c>
      <c r="D7" s="6">
        <f>'WD40_Inputs_base'!B9+0</f>
        <v>13.633263</v>
      </c>
    </row>
    <row r="8" spans="1:4" ht="26.25" customHeight="1">
      <c r="A8" s="1" t="s">
        <v>64</v>
      </c>
      <c r="B8" s="9">
        <v>0.025</v>
      </c>
      <c r="C8" s="9">
        <v>0.025</v>
      </c>
      <c r="D8" s="9">
        <v>0.025</v>
      </c>
    </row>
    <row r="9" spans="1:4" ht="26.25" customHeight="1">
      <c r="A9" s="1" t="s">
        <v>131</v>
      </c>
      <c r="B9" s="10">
        <f>'WD40_DCF_base'!L13+0</f>
        <v>0.06999999999999999</v>
      </c>
      <c r="C9" s="10">
        <f>'WD40_DCF_base'!L13+0</f>
        <v>0.06999999999999999</v>
      </c>
      <c r="D9" s="10">
        <f>'WD40_DCF_base'!L13+0</f>
        <v>0.06999999999999999</v>
      </c>
    </row>
    <row r="10" spans="1:4" ht="26.25" customHeight="1">
      <c r="A10" s="1" t="s">
        <v>122</v>
      </c>
      <c r="B10" s="10">
        <f>'WD40_Inputs_base'!B12+0</f>
        <v>0.25</v>
      </c>
      <c r="C10" s="10">
        <f>'WD40_Inputs_base'!B12+0</f>
        <v>0.25</v>
      </c>
      <c r="D10" s="10">
        <f>'WD40_Inputs_base'!B12+0</f>
        <v>0.25</v>
      </c>
    </row>
    <row r="11" spans="1:4" ht="26.25" customHeight="1">
      <c r="A11" s="1" t="s">
        <v>452</v>
      </c>
      <c r="B11" s="6">
        <f>'WD40_DCF_base'!B28+0</f>
        <v>159.17020951337236</v>
      </c>
      <c r="C11" s="6">
        <f>'WD40_DCF_base'!B28+0</f>
        <v>159.17020951337236</v>
      </c>
      <c r="D11" s="6">
        <f>'WD40_DCF_base'!B28+0</f>
        <v>159.17020951337236</v>
      </c>
    </row>
    <row r="12" spans="1:4" ht="26.25" customHeight="1">
      <c r="A12" s="1" t="s">
        <v>453</v>
      </c>
      <c r="B12" s="6">
        <f>'WD40_DCF_base'!C4+0</f>
        <v>657.4545400000001</v>
      </c>
      <c r="C12" s="6">
        <f>'WD40_DCF_base'!C4+0</f>
        <v>657.4545400000001</v>
      </c>
      <c r="D12" s="6">
        <f>'WD40_DCF_base'!C4+0</f>
        <v>657.4545400000001</v>
      </c>
    </row>
    <row r="13" spans="1:4" ht="26.25" customHeight="1">
      <c r="A13" s="1" t="s">
        <v>454</v>
      </c>
      <c r="B13" s="6">
        <f>IF((1/B4)&gt;1,1,(1/B4))</f>
        <v>0.3333333333333333</v>
      </c>
      <c r="C13" s="6">
        <f>IF((1/C4)&gt;1,1,(1/C4))</f>
        <v>0.3333333333333333</v>
      </c>
      <c r="D13" s="6">
        <f>IF((1/D4)&gt;1,1,(1/D4))</f>
        <v>0.3333333333333333</v>
      </c>
    </row>
    <row r="14" spans="1:4" ht="26.25" customHeight="1">
      <c r="A14" s="1" t="s">
        <v>455</v>
      </c>
      <c r="B14" s="6">
        <f>B3*B2*(B12/B6)*B13</f>
        <v>8.396887342812057</v>
      </c>
      <c r="C14" s="6">
        <f>C3*C2*(C12/C6)*C13</f>
        <v>16.793774685624115</v>
      </c>
      <c r="D14" s="6">
        <f>D3*D2*(D12/D6)*D13</f>
        <v>25.19066202843617</v>
      </c>
    </row>
    <row r="15" spans="1:4" ht="26.25" customHeight="1">
      <c r="A15" s="1" t="s">
        <v>456</v>
      </c>
      <c r="B15" s="6">
        <f>B14*(1-'WD40_DCF_base'!C7+0)</f>
        <v>6.532776039197009</v>
      </c>
      <c r="C15" s="6">
        <f>C14*(1-'WD40_DCF_base'!C7+0)</f>
        <v>13.065552078394019</v>
      </c>
      <c r="D15" s="6">
        <f>D14*(1-'WD40_DCF_base'!C7+0)</f>
        <v>19.598328117591027</v>
      </c>
    </row>
    <row r="16" spans="1:4" ht="26.25" customHeight="1">
      <c r="A16" s="1" t="s">
        <v>457</v>
      </c>
      <c r="B16" s="6">
        <f>B15*'WD40_DCF_base'!C14+0</f>
        <v>6.077000966694892</v>
      </c>
      <c r="C16" s="6">
        <f>C15*'WD40_DCF_base'!C14+0</f>
        <v>12.154001933389784</v>
      </c>
      <c r="D16" s="6">
        <f>D15*'WD40_DCF_base'!C14+0</f>
        <v>18.231002900084675</v>
      </c>
    </row>
    <row r="17" spans="1:4" ht="26.25" customHeight="1">
      <c r="A17" s="1" t="s">
        <v>458</v>
      </c>
      <c r="B17" s="6">
        <f>'WD40_DCF_base'!D4+0</f>
        <v>697.9171990233394</v>
      </c>
      <c r="C17" s="6">
        <f>'WD40_DCF_base'!D4+0</f>
        <v>697.9171990233394</v>
      </c>
      <c r="D17" s="6">
        <f>'WD40_DCF_base'!D4+0</f>
        <v>697.9171990233394</v>
      </c>
    </row>
    <row r="18" spans="1:4" ht="26.25" customHeight="1">
      <c r="A18" s="1" t="s">
        <v>459</v>
      </c>
      <c r="B18" s="6">
        <f>IF((2/B4)&gt;1,1,(2/B4))</f>
        <v>0.6666666666666666</v>
      </c>
      <c r="C18" s="6">
        <f>IF((2/C4)&gt;1,1,(2/C4))</f>
        <v>0.6666666666666666</v>
      </c>
      <c r="D18" s="6">
        <f>IF((2/D4)&gt;1,1,(2/D4))</f>
        <v>0.6666666666666666</v>
      </c>
    </row>
    <row r="19" spans="1:4" ht="26.25" customHeight="1">
      <c r="A19" s="1" t="s">
        <v>460</v>
      </c>
      <c r="B19" s="6">
        <f>B3*B2*(B17/B6)*B18</f>
        <v>17.82733782569947</v>
      </c>
      <c r="C19" s="6">
        <f>C3*C2*(C17/C6)*C18</f>
        <v>35.65467565139894</v>
      </c>
      <c r="D19" s="6">
        <f>D3*D2*(D17/D6)*D18</f>
        <v>53.482013477098405</v>
      </c>
    </row>
    <row r="20" spans="1:4" ht="26.25" customHeight="1">
      <c r="A20" s="1" t="s">
        <v>461</v>
      </c>
      <c r="B20" s="6">
        <f>B19*(1-'WD40_DCF_base'!D7+0)</f>
        <v>13.869663916605283</v>
      </c>
      <c r="C20" s="6">
        <f>C19*(1-'WD40_DCF_base'!D7+0)</f>
        <v>27.739327833210567</v>
      </c>
      <c r="D20" s="6">
        <f>D19*(1-'WD40_DCF_base'!D7+0)</f>
        <v>41.60899174981585</v>
      </c>
    </row>
    <row r="21" spans="1:4" ht="26.25" customHeight="1">
      <c r="A21" s="1" t="s">
        <v>462</v>
      </c>
      <c r="B21" s="6">
        <f>B20*'WD40_DCF_base'!D14+0</f>
        <v>12.001872507608681</v>
      </c>
      <c r="C21" s="6">
        <f>C20*'WD40_DCF_base'!D14+0</f>
        <v>24.003745015217362</v>
      </c>
      <c r="D21" s="6">
        <f>D20*'WD40_DCF_base'!D14+0</f>
        <v>36.00561752282604</v>
      </c>
    </row>
    <row r="22" spans="1:4" ht="26.25" customHeight="1">
      <c r="A22" s="1" t="s">
        <v>463</v>
      </c>
      <c r="B22" s="6">
        <f>'WD40_DCF_base'!E4+0</f>
        <v>740.8701089699427</v>
      </c>
      <c r="C22" s="6">
        <f>'WD40_DCF_base'!E4+0</f>
        <v>740.8701089699427</v>
      </c>
      <c r="D22" s="6">
        <f>'WD40_DCF_base'!E4+0</f>
        <v>740.8701089699427</v>
      </c>
    </row>
    <row r="23" spans="1:4" ht="26.25" customHeight="1">
      <c r="A23" s="1" t="s">
        <v>464</v>
      </c>
      <c r="B23" s="6">
        <f>IF((3/B4)&gt;1,1,(3/B4))</f>
        <v>1.0</v>
      </c>
      <c r="C23" s="6">
        <f>IF((3/C4)&gt;1,1,(3/C4))</f>
        <v>1.0</v>
      </c>
      <c r="D23" s="6">
        <f>IF((3/D4)&gt;1,1,(3/D4))</f>
        <v>1.0</v>
      </c>
    </row>
    <row r="24" spans="1:4" ht="26.25" customHeight="1">
      <c r="A24" s="1" t="s">
        <v>465</v>
      </c>
      <c r="B24" s="6">
        <f>B3*B2*(B22/B6)*B23</f>
        <v>28.386766516256028</v>
      </c>
      <c r="C24" s="6">
        <f>C3*C2*(C22/C6)*C23</f>
        <v>56.773533032512056</v>
      </c>
      <c r="D24" s="6">
        <f>D3*D2*(D22/D6)*D23</f>
        <v>85.16029954876807</v>
      </c>
    </row>
    <row r="25" spans="1:4" ht="26.25" customHeight="1">
      <c r="A25" s="1" t="s">
        <v>466</v>
      </c>
      <c r="B25" s="6">
        <f>B24*(1-'WD40_DCF_base'!E7+0)</f>
        <v>22.084896528524027</v>
      </c>
      <c r="C25" s="6">
        <f>C24*(1-'WD40_DCF_base'!E7+0)</f>
        <v>44.169793057048054</v>
      </c>
      <c r="D25" s="6">
        <f>D24*(1-'WD40_DCF_base'!E7+0)</f>
        <v>66.25468958557207</v>
      </c>
    </row>
    <row r="26" spans="1:4" ht="26.25" customHeight="1">
      <c r="A26" s="1" t="s">
        <v>467</v>
      </c>
      <c r="B26" s="6">
        <f>B25*'WD40_DCF_base'!E14+0</f>
        <v>17.77747088716135</v>
      </c>
      <c r="C26" s="6">
        <f>C25*'WD40_DCF_base'!E14+0</f>
        <v>35.5549417743227</v>
      </c>
      <c r="D26" s="6">
        <f>D25*'WD40_DCF_base'!E14+0</f>
        <v>53.33241266148404</v>
      </c>
    </row>
    <row r="27" spans="1:4" ht="26.25" customHeight="1">
      <c r="A27" s="1" t="s">
        <v>468</v>
      </c>
      <c r="B27" s="6">
        <f>'WD40_DCF_base'!F4+0</f>
        <v>786.4665308911224</v>
      </c>
      <c r="C27" s="6">
        <f>'WD40_DCF_base'!F4+0</f>
        <v>786.4665308911224</v>
      </c>
      <c r="D27" s="6">
        <f>'WD40_DCF_base'!F4+0</f>
        <v>786.4665308911224</v>
      </c>
    </row>
    <row r="28" spans="1:4" ht="26.25" customHeight="1">
      <c r="A28" s="1" t="s">
        <v>469</v>
      </c>
      <c r="B28" s="6">
        <f>IF((4/B4)&gt;1,1,(4/B4))</f>
        <v>1</v>
      </c>
      <c r="C28" s="6">
        <f>IF((4/C4)&gt;1,1,(4/C4))</f>
        <v>1</v>
      </c>
      <c r="D28" s="6">
        <f>IF((4/D4)&gt;1,1,(4/D4))</f>
        <v>1</v>
      </c>
    </row>
    <row r="29" spans="1:4" ht="26.25" customHeight="1">
      <c r="A29" s="1" t="s">
        <v>470</v>
      </c>
      <c r="B29" s="6">
        <f>B3*B2*(B27/B6)*B28</f>
        <v>30.13381362665002</v>
      </c>
      <c r="C29" s="6">
        <f>C3*C2*(C27/C6)*C28</f>
        <v>60.26762725330004</v>
      </c>
      <c r="D29" s="6">
        <f>D3*D2*(D27/D6)*D28</f>
        <v>90.40144087995006</v>
      </c>
    </row>
    <row r="30" spans="1:4" ht="26.25" customHeight="1">
      <c r="A30" s="1" t="s">
        <v>471</v>
      </c>
      <c r="B30" s="6">
        <f>B29*(1-'WD40_DCF_base'!F7+0)</f>
        <v>23.444098699064057</v>
      </c>
      <c r="C30" s="6">
        <f>C29*(1-'WD40_DCF_base'!F7+0)</f>
        <v>46.88819739812811</v>
      </c>
      <c r="D30" s="6">
        <f>D29*(1-'WD40_DCF_base'!F7+0)</f>
        <v>70.33229609719217</v>
      </c>
    </row>
    <row r="31" spans="1:4" ht="26.25" customHeight="1">
      <c r="A31" s="1" t="s">
        <v>472</v>
      </c>
      <c r="B31" s="6">
        <f>B30*'WD40_DCF_base'!F14+0</f>
        <v>17.554953525988783</v>
      </c>
      <c r="C31" s="6">
        <f>C30*'WD40_DCF_base'!F14+0</f>
        <v>35.109907051977565</v>
      </c>
      <c r="D31" s="6">
        <f>D30*'WD40_DCF_base'!F14+0</f>
        <v>52.664860577966344</v>
      </c>
    </row>
    <row r="32" spans="1:4" ht="26.25" customHeight="1">
      <c r="A32" s="1" t="s">
        <v>473</v>
      </c>
      <c r="B32" s="6">
        <f>'WD40_DCF_base'!G4+0</f>
        <v>834.8691582008616</v>
      </c>
      <c r="C32" s="6">
        <f>'WD40_DCF_base'!G4+0</f>
        <v>834.8691582008616</v>
      </c>
      <c r="D32" s="6">
        <f>'WD40_DCF_base'!G4+0</f>
        <v>834.8691582008616</v>
      </c>
    </row>
    <row r="33" spans="1:4" ht="26.25" customHeight="1">
      <c r="A33" s="1" t="s">
        <v>474</v>
      </c>
      <c r="B33" s="6">
        <f>IF((5/B4)&gt;1,1,(5/B4))</f>
        <v>1</v>
      </c>
      <c r="C33" s="6">
        <f>IF((5/C4)&gt;1,1,(5/C4))</f>
        <v>1</v>
      </c>
      <c r="D33" s="6">
        <f>IF((5/D4)&gt;1,1,(5/D4))</f>
        <v>1</v>
      </c>
    </row>
    <row r="34" spans="1:4" ht="26.25" customHeight="1">
      <c r="A34" s="1" t="s">
        <v>475</v>
      </c>
      <c r="B34" s="6">
        <f>B3*B2*(B32/B6)*B33</f>
        <v>31.988381739979953</v>
      </c>
      <c r="C34" s="6">
        <f>C3*C2*(C32/C6)*C33</f>
        <v>63.97676347995991</v>
      </c>
      <c r="D34" s="6">
        <f>D3*D2*(D32/D6)*D33</f>
        <v>95.96514521993984</v>
      </c>
    </row>
    <row r="35" spans="1:4" ht="26.25" customHeight="1">
      <c r="A35" s="1" t="s">
        <v>476</v>
      </c>
      <c r="B35" s="6">
        <f>B34*(1-'WD40_DCF_base'!G7+0)</f>
        <v>24.886952180264057</v>
      </c>
      <c r="C35" s="6">
        <f>C34*(1-'WD40_DCF_base'!G7+0)</f>
        <v>49.773904360528114</v>
      </c>
      <c r="D35" s="6">
        <f>D34*(1-'WD40_DCF_base'!G7+0)</f>
        <v>74.66085654079215</v>
      </c>
    </row>
    <row r="36" spans="1:4" ht="26.25" customHeight="1">
      <c r="A36" s="1" t="s">
        <v>477</v>
      </c>
      <c r="B36" s="6">
        <f>B35*'WD40_DCF_base'!G14+0</f>
        <v>17.335221374047467</v>
      </c>
      <c r="C36" s="6">
        <f>C35*'WD40_DCF_base'!G14+0</f>
        <v>34.670442748094935</v>
      </c>
      <c r="D36" s="6">
        <f>D35*'WD40_DCF_base'!G14+0</f>
        <v>52.00566412214239</v>
      </c>
    </row>
    <row r="37" spans="1:4" ht="26.25" customHeight="1">
      <c r="A37" s="1" t="s">
        <v>478</v>
      </c>
      <c r="B37" s="6">
        <f>'WD40_DCF_base'!H4+0</f>
        <v>880.1487351792681</v>
      </c>
      <c r="C37" s="6">
        <f>'WD40_DCF_base'!H4+0</f>
        <v>880.1487351792681</v>
      </c>
      <c r="D37" s="6">
        <f>'WD40_DCF_base'!H4+0</f>
        <v>880.1487351792681</v>
      </c>
    </row>
    <row r="38" spans="1:4" ht="26.25" customHeight="1">
      <c r="A38" s="1" t="s">
        <v>479</v>
      </c>
      <c r="B38" s="6">
        <f>IF((6/B4)&gt;1,1,(6/B4))</f>
        <v>1</v>
      </c>
      <c r="C38" s="6">
        <f>IF((6/C4)&gt;1,1,(6/C4))</f>
        <v>1</v>
      </c>
      <c r="D38" s="6">
        <f>IF((6/D4)&gt;1,1,(6/D4))</f>
        <v>1</v>
      </c>
    </row>
    <row r="39" spans="1:4" ht="26.25" customHeight="1">
      <c r="A39" s="1" t="s">
        <v>480</v>
      </c>
      <c r="B39" s="6">
        <f>B3*B2*(B37/B6)*B38</f>
        <v>33.72328879599267</v>
      </c>
      <c r="C39" s="6">
        <f>C3*C2*(C37/C6)*C38</f>
        <v>67.44657759198535</v>
      </c>
      <c r="D39" s="6">
        <f>D3*D2*(D37/D6)*D38</f>
        <v>101.169866387978</v>
      </c>
    </row>
    <row r="40" spans="1:4" ht="26.25" customHeight="1">
      <c r="A40" s="1" t="s">
        <v>481</v>
      </c>
      <c r="B40" s="6">
        <f>B39*(1-'WD40_DCF_base'!H7+0)</f>
        <v>26.04786083287113</v>
      </c>
      <c r="C40" s="6">
        <f>C39*(1-'WD40_DCF_base'!H7+0)</f>
        <v>52.09572166574226</v>
      </c>
      <c r="D40" s="6">
        <f>D39*(1-'WD40_DCF_base'!H7+0)</f>
        <v>78.14358249861338</v>
      </c>
    </row>
    <row r="41" spans="1:4" ht="26.25" customHeight="1">
      <c r="A41" s="1" t="s">
        <v>482</v>
      </c>
      <c r="B41" s="6">
        <f>B40*'WD40_DCF_base'!H14+0</f>
        <v>16.89372655250546</v>
      </c>
      <c r="C41" s="6">
        <f>C40*'WD40_DCF_base'!H14+0</f>
        <v>33.78745310501092</v>
      </c>
      <c r="D41" s="6">
        <f>D40*'WD40_DCF_base'!H14+0</f>
        <v>50.681179657516374</v>
      </c>
    </row>
    <row r="42" spans="1:4" ht="26.25" customHeight="1">
      <c r="A42" s="1" t="s">
        <v>483</v>
      </c>
      <c r="B42" s="6">
        <f>'WD40_DCF_base'!I4+0</f>
        <v>921.451169131611</v>
      </c>
      <c r="C42" s="6">
        <f>'WD40_DCF_base'!I4+0</f>
        <v>921.451169131611</v>
      </c>
      <c r="D42" s="6">
        <f>'WD40_DCF_base'!I4+0</f>
        <v>921.451169131611</v>
      </c>
    </row>
    <row r="43" spans="1:4" ht="26.25" customHeight="1">
      <c r="A43" s="1" t="s">
        <v>484</v>
      </c>
      <c r="B43" s="6">
        <f>IF((7/B4)&gt;1,1,(7/B4))</f>
        <v>1</v>
      </c>
      <c r="C43" s="6">
        <f>IF((7/C4)&gt;1,1,(7/C4))</f>
        <v>1</v>
      </c>
      <c r="D43" s="6">
        <f>IF((7/D4)&gt;1,1,(7/D4))</f>
        <v>1</v>
      </c>
    </row>
    <row r="44" spans="1:4" ht="26.25" customHeight="1">
      <c r="A44" s="1" t="s">
        <v>485</v>
      </c>
      <c r="B44" s="6">
        <f>B3*B2*(B42/B6)*B43</f>
        <v>35.30580985462781</v>
      </c>
      <c r="C44" s="6">
        <f>C3*C2*(C42/C6)*C43</f>
        <v>70.61161970925562</v>
      </c>
      <c r="D44" s="6">
        <f>D3*D2*(D42/D6)*D43</f>
        <v>105.91742956388342</v>
      </c>
    </row>
    <row r="45" spans="1:4" ht="26.25" customHeight="1">
      <c r="A45" s="1" t="s">
        <v>486</v>
      </c>
      <c r="B45" s="6">
        <f>B44*(1-'WD40_DCF_base'!I7+0)</f>
        <v>27.07248916005363</v>
      </c>
      <c r="C45" s="6">
        <f>C44*(1-'WD40_DCF_base'!I7+0)</f>
        <v>54.14497832010726</v>
      </c>
      <c r="D45" s="6">
        <f>D44*(1-'WD40_DCF_base'!I7+0)</f>
        <v>81.21746748016088</v>
      </c>
    </row>
    <row r="46" spans="1:4" ht="26.25" customHeight="1">
      <c r="A46" s="1" t="s">
        <v>487</v>
      </c>
      <c r="B46" s="6">
        <f>B45*'WD40_DCF_base'!I14+0</f>
        <v>16.36371337748485</v>
      </c>
      <c r="C46" s="6">
        <f>C45*'WD40_DCF_base'!I14+0</f>
        <v>32.7274267549697</v>
      </c>
      <c r="D46" s="6">
        <f>D45*'WD40_DCF_base'!I14+0</f>
        <v>49.09114013245454</v>
      </c>
    </row>
    <row r="47" spans="1:4" ht="26.25" customHeight="1">
      <c r="A47" s="1" t="s">
        <v>488</v>
      </c>
      <c r="B47" s="6">
        <f>'WD40_DCF_base'!J4+0</f>
        <v>957.9570081563141</v>
      </c>
      <c r="C47" s="6">
        <f>'WD40_DCF_base'!J4+0</f>
        <v>957.9570081563141</v>
      </c>
      <c r="D47" s="6">
        <f>'WD40_DCF_base'!J4+0</f>
        <v>957.9570081563141</v>
      </c>
    </row>
    <row r="48" spans="1:4" ht="26.25" customHeight="1">
      <c r="A48" s="1" t="s">
        <v>489</v>
      </c>
      <c r="B48" s="6">
        <f>IF((8/B4)&gt;1,1,(8/B4))</f>
        <v>1</v>
      </c>
      <c r="C48" s="6">
        <f>IF((8/C4)&gt;1,1,(8/C4))</f>
        <v>1</v>
      </c>
      <c r="D48" s="6">
        <f>IF((8/D4)&gt;1,1,(8/D4))</f>
        <v>1</v>
      </c>
    </row>
    <row r="49" spans="1:4" ht="26.25" customHeight="1">
      <c r="A49" s="1" t="s">
        <v>490</v>
      </c>
      <c r="B49" s="6">
        <f>B3*B2*(B47/B6)*B48</f>
        <v>36.704547253164584</v>
      </c>
      <c r="C49" s="6">
        <f>C3*C2*(C47/C6)*C48</f>
        <v>73.40909450632917</v>
      </c>
      <c r="D49" s="6">
        <f>D3*D2*(D47/D6)*D48</f>
        <v>110.11364175949375</v>
      </c>
    </row>
    <row r="50" spans="1:4" ht="26.25" customHeight="1">
      <c r="A50" s="1" t="s">
        <v>491</v>
      </c>
      <c r="B50" s="6">
        <f>B49*(1-'WD40_DCF_base'!J7+0)</f>
        <v>27.93949732397349</v>
      </c>
      <c r="C50" s="6">
        <f>C49*(1-'WD40_DCF_base'!J7+0)</f>
        <v>55.87899464794698</v>
      </c>
      <c r="D50" s="6">
        <f>D49*(1-'WD40_DCF_base'!J7+0)</f>
        <v>83.81849197192047</v>
      </c>
    </row>
    <row r="51" spans="1:4" ht="26.25" customHeight="1">
      <c r="A51" s="1" t="s">
        <v>492</v>
      </c>
      <c r="B51" s="6">
        <f>B50*'WD40_DCF_base'!J14+0</f>
        <v>15.753515270046384</v>
      </c>
      <c r="C51" s="6">
        <f>C50*'WD40_DCF_base'!J14+0</f>
        <v>31.507030540092767</v>
      </c>
      <c r="D51" s="6">
        <f>D50*'WD40_DCF_base'!J14+0</f>
        <v>47.26054581013914</v>
      </c>
    </row>
    <row r="52" spans="1:4" ht="26.25" customHeight="1">
      <c r="A52" s="1" t="s">
        <v>493</v>
      </c>
      <c r="B52" s="6">
        <f>'WD40_DCF_base'!K4+0</f>
        <v>988.907530208764</v>
      </c>
      <c r="C52" s="6">
        <f>'WD40_DCF_base'!K4+0</f>
        <v>988.907530208764</v>
      </c>
      <c r="D52" s="6">
        <f>'WD40_DCF_base'!K4+0</f>
        <v>988.907530208764</v>
      </c>
    </row>
    <row r="53" spans="1:4" ht="26.25" customHeight="1">
      <c r="A53" s="1" t="s">
        <v>494</v>
      </c>
      <c r="B53" s="6">
        <f>IF((9/B4)&gt;1,1,(9/B4))</f>
        <v>1</v>
      </c>
      <c r="C53" s="6">
        <f>IF((9/C4)&gt;1,1,(9/C4))</f>
        <v>1</v>
      </c>
      <c r="D53" s="6">
        <f>IF((9/D4)&gt;1,1,(9/D4))</f>
        <v>1</v>
      </c>
    </row>
    <row r="54" spans="1:4" ht="26.25" customHeight="1">
      <c r="A54" s="1" t="s">
        <v>495</v>
      </c>
      <c r="B54" s="6">
        <f>B3*B2*(B52/B6)*B53</f>
        <v>37.89043022026209</v>
      </c>
      <c r="C54" s="6">
        <f>C3*C2*(C52/C6)*C53</f>
        <v>75.78086044052418</v>
      </c>
      <c r="D54" s="6">
        <f>D3*D2*(D52/D6)*D53</f>
        <v>113.67129066078625</v>
      </c>
    </row>
    <row r="55" spans="1:4" ht="26.25" customHeight="1">
      <c r="A55" s="1" t="s">
        <v>496</v>
      </c>
      <c r="B55" s="6">
        <f>B54*(1-'WD40_DCF_base'!K7+0)</f>
        <v>28.630006986515433</v>
      </c>
      <c r="C55" s="6">
        <f>C54*(1-'WD40_DCF_base'!K7+0)</f>
        <v>57.260013973030865</v>
      </c>
      <c r="D55" s="6">
        <f>D54*(1-'WD40_DCF_base'!K7+0)</f>
        <v>85.89002095954629</v>
      </c>
    </row>
    <row r="56" spans="1:4" ht="26.25" customHeight="1">
      <c r="A56" s="1" t="s">
        <v>497</v>
      </c>
      <c r="B56" s="6">
        <f>B55*'WD40_DCF_base'!K14+0</f>
        <v>15.072693683001539</v>
      </c>
      <c r="C56" s="6">
        <f>C55*'WD40_DCF_base'!K14+0</f>
        <v>30.145387366003078</v>
      </c>
      <c r="D56" s="6">
        <f>D55*'WD40_DCF_base'!K14+0</f>
        <v>45.21808104900461</v>
      </c>
    </row>
    <row r="57" spans="1:4" ht="26.25" customHeight="1">
      <c r="A57" s="1" t="s">
        <v>498</v>
      </c>
      <c r="B57" s="6">
        <f>'WD40_DCF_base'!L4+0</f>
        <v>1013.630218463983</v>
      </c>
      <c r="C57" s="6">
        <f>'WD40_DCF_base'!L4+0</f>
        <v>1013.630218463983</v>
      </c>
      <c r="D57" s="6">
        <f>'WD40_DCF_base'!L4+0</f>
        <v>1013.630218463983</v>
      </c>
    </row>
    <row r="58" spans="1:4" ht="26.25" customHeight="1">
      <c r="A58" s="1" t="s">
        <v>499</v>
      </c>
      <c r="B58" s="6">
        <f>IF((10/B4)&gt;1,1,(10/B4))</f>
        <v>1</v>
      </c>
      <c r="C58" s="6">
        <f>IF((10/C4)&gt;1,1,(10/C4))</f>
        <v>1</v>
      </c>
      <c r="D58" s="6">
        <f>IF((10/D4)&gt;1,1,(10/D4))</f>
        <v>1</v>
      </c>
    </row>
    <row r="59" spans="1:4" ht="26.25" customHeight="1">
      <c r="A59" s="1" t="s">
        <v>500</v>
      </c>
      <c r="B59" s="6">
        <f>B3*B2*(B57/B6)*B58</f>
        <v>38.83769097576864</v>
      </c>
      <c r="C59" s="6">
        <f>C3*C2*(C57/C6)*C58</f>
        <v>77.67538195153728</v>
      </c>
      <c r="D59" s="6">
        <f>D3*D2*(D57/D6)*D58</f>
        <v>116.51307292730591</v>
      </c>
    </row>
    <row r="60" spans="1:4" ht="26.25" customHeight="1">
      <c r="A60" s="1" t="s">
        <v>501</v>
      </c>
      <c r="B60" s="6">
        <f>B59*(1-'WD40_DCF_base'!L7+0)</f>
        <v>29.12826823182648</v>
      </c>
      <c r="C60" s="6">
        <f>C59*(1-'WD40_DCF_base'!L7+0)</f>
        <v>58.25653646365296</v>
      </c>
      <c r="D60" s="6">
        <f>D59*(1-'WD40_DCF_base'!L7+0)</f>
        <v>87.38480469547943</v>
      </c>
    </row>
    <row r="61" spans="1:4" ht="26.25" customHeight="1">
      <c r="A61" s="1" t="s">
        <v>502</v>
      </c>
      <c r="B61" s="6">
        <f>B60*'WD40_DCF_base'!L14+0</f>
        <v>14.331785736690033</v>
      </c>
      <c r="C61" s="6">
        <f>C60*'WD40_DCF_base'!L14+0</f>
        <v>28.663571473380067</v>
      </c>
      <c r="D61" s="6">
        <f>D60*'WD40_DCF_base'!L14+0</f>
        <v>42.9953572100701</v>
      </c>
    </row>
    <row r="62" spans="1:4" ht="26.25" customHeight="1">
      <c r="A62" s="1" t="s">
        <v>503</v>
      </c>
      <c r="B62" s="6">
        <f>B3*B2*(B57/B6)*(1+B8)*(1-B10)</f>
        <v>29.85647493762214</v>
      </c>
      <c r="C62" s="6">
        <f>C3*C2*(C57/C6)*(1+C8)*(1-C10)</f>
        <v>59.71294987524428</v>
      </c>
      <c r="D62" s="6">
        <f>D3*D2*(D57/D6)*(1+D8)*(1-D10)</f>
        <v>89.56942481286642</v>
      </c>
    </row>
    <row r="63" spans="1:4" ht="26.25" customHeight="1">
      <c r="A63" s="1" t="s">
        <v>504</v>
      </c>
      <c r="B63" s="6">
        <f>B62/(B9-B8)</f>
        <v>663.4772208360476</v>
      </c>
      <c r="C63" s="6">
        <f>C62/(C9-C8)</f>
        <v>1326.9544416720953</v>
      </c>
      <c r="D63" s="6">
        <f>D62/(D9-D8)</f>
        <v>1990.431662508143</v>
      </c>
    </row>
    <row r="64" spans="1:4" ht="26.25" customHeight="1">
      <c r="A64" s="1" t="s">
        <v>505</v>
      </c>
      <c r="B64" s="6">
        <f>B63*'WD40_DCF_base'!L14+0</f>
        <v>326.4462306690508</v>
      </c>
      <c r="C64" s="6">
        <f>C63*'WD40_DCF_base'!L14+0</f>
        <v>652.8924613381016</v>
      </c>
      <c r="D64" s="6">
        <f>D63*'WD40_DCF_base'!L14+0</f>
        <v>979.3386920071524</v>
      </c>
    </row>
    <row r="65" spans="1:4" ht="26.25" customHeight="1">
      <c r="A65" s="1" t="s">
        <v>506</v>
      </c>
      <c r="B65" s="6">
        <f>0+B16+B21+B26+B31+B36+B41+B46+B51+B56+B61+B64-B5</f>
        <v>451.8531845502802</v>
      </c>
      <c r="C65" s="6">
        <f>0+C16+C21+C26+C31+C36+C41+C46+C51+C56+C61+C64-C5</f>
        <v>903.7063691005604</v>
      </c>
      <c r="D65" s="6">
        <f>0+D16+D21+D26+D31+D36+D41+D46+D51+D56+D61+D64-D5</f>
        <v>1355.5595536508406</v>
      </c>
    </row>
    <row r="66" spans="1:4" ht="26.25" customHeight="1">
      <c r="A66" s="1" t="s">
        <v>507</v>
      </c>
      <c r="B66" s="3">
        <f>B11+(B65/B7)</f>
        <v>192.31364586828462</v>
      </c>
      <c r="C66" s="3">
        <f>C11+(C65/C7)</f>
        <v>225.4570822231969</v>
      </c>
      <c r="D66" s="3">
        <f>D11+(D65/D7)</f>
        <v>258.60051857810913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23"/>
  <sheetViews>
    <sheetView workbookViewId="0" showGridLines="0">
      <pane xSplit="1" ySplit="1" topLeftCell="B2" activePane="bottomRight" state="frozen"/>
      <selection pane="bottomRight" activeCell="B2" sqref="B2"/>
    </sheetView>
  </sheetViews>
  <sheetFormatPr defaultRowHeight="15"/>
  <cols>
    <col min="1" max="1" width="34.7109375" customWidth="1"/>
    <col min="2" max="2" width="120.7109375" customWidth="1"/>
  </cols>
  <sheetData>
    <row r="1" spans="1:2" ht="36" customHeight="1">
      <c r="A1" s="1" t="s">
        <v>554</v>
      </c>
      <c r="B1" s="2" t="s">
        <v>531</v>
      </c>
    </row>
    <row r="2" spans="1:2" ht="42" customHeight="1">
      <c r="A2" s="1" t="s">
        <v>532</v>
      </c>
      <c r="B2" s="7" t="s">
        <v>509</v>
      </c>
    </row>
    <row r="3" spans="1:2" ht="42" customHeight="1">
      <c r="A3" s="1" t="s">
        <v>533</v>
      </c>
      <c r="B3" s="7" t="s">
        <v>510</v>
      </c>
    </row>
    <row r="4" spans="1:2" ht="42" customHeight="1">
      <c r="A4" s="1" t="s">
        <v>534</v>
      </c>
      <c r="B4" s="7" t="s">
        <v>511</v>
      </c>
    </row>
    <row r="5" spans="1:2" ht="42" customHeight="1">
      <c r="A5" s="1" t="s">
        <v>535</v>
      </c>
      <c r="B5" s="7" t="s">
        <v>512</v>
      </c>
    </row>
    <row r="6" spans="1:2" ht="42" customHeight="1">
      <c r="A6" s="1" t="s">
        <v>536</v>
      </c>
      <c r="B6" s="7" t="s">
        <v>513</v>
      </c>
    </row>
    <row r="7" spans="1:2" ht="42" customHeight="1">
      <c r="A7" s="1" t="s">
        <v>537</v>
      </c>
      <c r="B7" s="7" t="s">
        <v>514</v>
      </c>
    </row>
    <row r="8" spans="1:2" ht="42" customHeight="1">
      <c r="A8" s="1" t="s">
        <v>538</v>
      </c>
      <c r="B8" s="7" t="s">
        <v>515</v>
      </c>
    </row>
    <row r="9" spans="1:2" ht="42" customHeight="1">
      <c r="A9" s="1" t="s">
        <v>539</v>
      </c>
      <c r="B9" s="7" t="s">
        <v>516</v>
      </c>
    </row>
    <row r="10" spans="1:2" ht="42" customHeight="1">
      <c r="A10" s="1" t="s">
        <v>540</v>
      </c>
      <c r="B10" s="7" t="s">
        <v>517</v>
      </c>
    </row>
    <row r="11" spans="1:2" ht="42" customHeight="1">
      <c r="A11" s="1" t="s">
        <v>541</v>
      </c>
      <c r="B11" s="7" t="s">
        <v>518</v>
      </c>
    </row>
    <row r="12" spans="1:2" ht="50.25" customHeight="1">
      <c r="A12" s="1" t="s">
        <v>542</v>
      </c>
      <c r="B12" s="7" t="s">
        <v>519</v>
      </c>
    </row>
    <row r="13" spans="1:2" ht="50.25" customHeight="1">
      <c r="A13" s="1" t="s">
        <v>543</v>
      </c>
      <c r="B13" s="7" t="s">
        <v>520</v>
      </c>
    </row>
    <row r="14" spans="1:2" ht="50.25" customHeight="1">
      <c r="A14" s="1" t="s">
        <v>544</v>
      </c>
      <c r="B14" s="7" t="s">
        <v>521</v>
      </c>
    </row>
    <row r="15" spans="1:2" ht="63.75" customHeight="1">
      <c r="A15" s="1" t="s">
        <v>545</v>
      </c>
      <c r="B15" s="7" t="s">
        <v>522</v>
      </c>
    </row>
    <row r="16" spans="1:2" ht="78" customHeight="1">
      <c r="A16" s="1" t="s">
        <v>546</v>
      </c>
      <c r="B16" s="7" t="s">
        <v>523</v>
      </c>
    </row>
    <row r="17" spans="1:2" ht="63.75" customHeight="1">
      <c r="A17" s="1" t="s">
        <v>547</v>
      </c>
      <c r="B17" s="7" t="s">
        <v>524</v>
      </c>
    </row>
    <row r="18" spans="1:2" ht="63.75" customHeight="1">
      <c r="A18" s="1" t="s">
        <v>548</v>
      </c>
      <c r="B18" s="7" t="s">
        <v>525</v>
      </c>
    </row>
    <row r="19" spans="1:2" ht="42" customHeight="1">
      <c r="A19" s="1" t="s">
        <v>549</v>
      </c>
      <c r="B19" s="7" t="s">
        <v>526</v>
      </c>
    </row>
    <row r="20" spans="1:2" ht="42" customHeight="1">
      <c r="A20" s="1" t="s">
        <v>550</v>
      </c>
      <c r="B20" s="7" t="s">
        <v>527</v>
      </c>
    </row>
    <row r="21" spans="1:2" ht="42" customHeight="1">
      <c r="A21" s="1" t="s">
        <v>551</v>
      </c>
      <c r="B21" s="7" t="s">
        <v>528</v>
      </c>
    </row>
    <row r="22" spans="1:2" ht="42" customHeight="1">
      <c r="A22" s="1" t="s">
        <v>552</v>
      </c>
      <c r="B22" s="7" t="s">
        <v>529</v>
      </c>
    </row>
    <row r="23" spans="1:2" ht="42" customHeight="1">
      <c r="A23" s="1" t="s">
        <v>553</v>
      </c>
      <c r="B23" s="7" t="s">
        <v>530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J31"/>
  <sheetViews>
    <sheetView workbookViewId="0" showGridLines="0">
      <pane xSplit="1" ySplit="1" topLeftCell="B2" activePane="bottomRight" state="frozen"/>
      <selection pane="bottomRight" activeCell="B2" sqref="B2"/>
    </sheetView>
  </sheetViews>
  <sheetFormatPr defaultRowHeight="15"/>
  <cols>
    <col min="1" max="1" width="27.7109375" customWidth="1"/>
    <col min="2" max="2" width="74.7109375" customWidth="1"/>
    <col min="3" max="3" width="17.7109375" customWidth="1"/>
    <col min="4" max="4" width="25.7109375" customWidth="1"/>
    <col min="5" max="5" width="20.7109375" customWidth="1"/>
    <col min="6" max="6" width="32.7109375" customWidth="1"/>
    <col min="7" max="7" width="102.7109375" customWidth="1"/>
    <col min="8" max="8" width="112.7109375" customWidth="1"/>
    <col min="9" max="9" width="62.7109375" customWidth="1"/>
    <col min="10" max="10" width="54.7109375" customWidth="1"/>
  </cols>
  <sheetData>
    <row r="1" spans="1:10" ht="36" customHeight="1">
      <c r="A1" s="1" t="s">
        <v>749</v>
      </c>
      <c r="B1" s="2" t="s">
        <v>711</v>
      </c>
      <c r="C1" s="2" t="s">
        <v>712</v>
      </c>
      <c r="D1" s="2" t="s">
        <v>44</v>
      </c>
      <c r="E1" s="2" t="s">
        <v>713</v>
      </c>
      <c r="F1" s="2" t="s">
        <v>714</v>
      </c>
      <c r="G1" s="2" t="s">
        <v>715</v>
      </c>
      <c r="H1" s="2" t="s">
        <v>716</v>
      </c>
      <c r="I1" s="2" t="s">
        <v>717</v>
      </c>
      <c r="J1" s="2" t="s">
        <v>718</v>
      </c>
    </row>
    <row r="2" spans="1:10" ht="63.75" customHeight="1">
      <c r="A2" s="1" t="s">
        <v>719</v>
      </c>
      <c r="B2" s="7" t="s">
        <v>555</v>
      </c>
      <c r="C2" s="7" t="s">
        <v>556</v>
      </c>
      <c r="D2" s="7" t="s">
        <v>557</v>
      </c>
      <c r="E2" s="7" t="s">
        <v>558</v>
      </c>
      <c r="F2" s="7" t="s">
        <v>559</v>
      </c>
      <c r="G2" s="7" t="s">
        <v>560</v>
      </c>
      <c r="H2" s="7" t="s">
        <v>561</v>
      </c>
      <c r="I2" s="7" t="s">
        <v>562</v>
      </c>
      <c r="J2" s="7" t="s">
        <v>563</v>
      </c>
    </row>
    <row r="3" spans="1:10" ht="48" customHeight="1">
      <c r="A3" s="1" t="s">
        <v>720</v>
      </c>
      <c r="B3" s="7" t="s">
        <v>564</v>
      </c>
      <c r="C3" s="7" t="s">
        <v>556</v>
      </c>
      <c r="D3" s="7" t="s">
        <v>557</v>
      </c>
      <c r="E3" s="7" t="s">
        <v>565</v>
      </c>
      <c r="F3" s="7" t="s">
        <v>566</v>
      </c>
      <c r="G3" s="7" t="s">
        <v>567</v>
      </c>
      <c r="H3" s="7" t="s">
        <v>568</v>
      </c>
      <c r="I3" s="7" t="s">
        <v>569</v>
      </c>
      <c r="J3" s="7" t="s">
        <v>563</v>
      </c>
    </row>
    <row r="4" spans="1:10" ht="63.75" customHeight="1">
      <c r="A4" s="1" t="s">
        <v>721</v>
      </c>
      <c r="B4" s="7" t="s">
        <v>570</v>
      </c>
      <c r="C4" s="7" t="s">
        <v>571</v>
      </c>
      <c r="D4" s="7" t="s">
        <v>572</v>
      </c>
      <c r="E4" s="7" t="s">
        <v>558</v>
      </c>
      <c r="F4" s="7" t="s">
        <v>573</v>
      </c>
      <c r="G4" s="7" t="s">
        <v>574</v>
      </c>
      <c r="H4" s="7" t="s">
        <v>575</v>
      </c>
      <c r="I4" s="7" t="s">
        <v>576</v>
      </c>
      <c r="J4" s="7" t="s">
        <v>563</v>
      </c>
    </row>
    <row r="5" spans="1:10" ht="48" customHeight="1">
      <c r="A5" s="1" t="s">
        <v>722</v>
      </c>
      <c r="B5" s="7" t="s">
        <v>577</v>
      </c>
      <c r="C5" s="7" t="s">
        <v>556</v>
      </c>
      <c r="D5" s="7" t="s">
        <v>557</v>
      </c>
      <c r="E5" s="7" t="s">
        <v>565</v>
      </c>
      <c r="F5" s="7" t="s">
        <v>578</v>
      </c>
      <c r="G5" s="7" t="s">
        <v>579</v>
      </c>
      <c r="H5" s="7" t="s">
        <v>580</v>
      </c>
      <c r="I5" s="7" t="s">
        <v>581</v>
      </c>
      <c r="J5" s="7" t="s">
        <v>563</v>
      </c>
    </row>
    <row r="6" spans="1:10" ht="50.25" customHeight="1">
      <c r="A6" s="1" t="s">
        <v>723</v>
      </c>
      <c r="B6" s="7" t="s">
        <v>582</v>
      </c>
      <c r="C6" s="7" t="s">
        <v>583</v>
      </c>
      <c r="D6" s="7" t="s">
        <v>583</v>
      </c>
      <c r="E6" s="7" t="s">
        <v>558</v>
      </c>
      <c r="F6" s="7" t="s">
        <v>584</v>
      </c>
      <c r="G6" s="7" t="s">
        <v>585</v>
      </c>
      <c r="H6" s="7" t="s">
        <v>586</v>
      </c>
      <c r="I6" s="7" t="s">
        <v>587</v>
      </c>
      <c r="J6" s="7" t="s">
        <v>588</v>
      </c>
    </row>
    <row r="7" spans="1:10" ht="63.75" customHeight="1">
      <c r="A7" s="1" t="s">
        <v>724</v>
      </c>
      <c r="B7" s="7" t="s">
        <v>589</v>
      </c>
      <c r="C7" s="7" t="s">
        <v>583</v>
      </c>
      <c r="D7" s="7" t="s">
        <v>590</v>
      </c>
      <c r="E7" s="7" t="s">
        <v>558</v>
      </c>
      <c r="F7" s="7" t="s">
        <v>573</v>
      </c>
      <c r="G7" s="7" t="s">
        <v>574</v>
      </c>
      <c r="H7" s="7" t="s">
        <v>591</v>
      </c>
      <c r="I7" s="7" t="s">
        <v>592</v>
      </c>
      <c r="J7" s="7" t="s">
        <v>593</v>
      </c>
    </row>
    <row r="8" spans="1:10" ht="50.25" customHeight="1">
      <c r="A8" s="1" t="s">
        <v>725</v>
      </c>
      <c r="B8" s="7" t="s">
        <v>594</v>
      </c>
      <c r="C8" s="7" t="s">
        <v>556</v>
      </c>
      <c r="D8" s="7" t="s">
        <v>590</v>
      </c>
      <c r="E8" s="7" t="s">
        <v>565</v>
      </c>
      <c r="F8" s="7" t="s">
        <v>595</v>
      </c>
      <c r="G8" s="7" t="s">
        <v>596</v>
      </c>
      <c r="H8" s="7" t="s">
        <v>597</v>
      </c>
      <c r="I8" s="7" t="s">
        <v>598</v>
      </c>
      <c r="J8" s="7" t="s">
        <v>599</v>
      </c>
    </row>
    <row r="9" spans="1:10" ht="50.25" customHeight="1">
      <c r="A9" s="1" t="s">
        <v>726</v>
      </c>
      <c r="B9" s="7" t="s">
        <v>600</v>
      </c>
      <c r="C9" s="7" t="s">
        <v>583</v>
      </c>
      <c r="D9" s="7" t="s">
        <v>583</v>
      </c>
      <c r="E9" s="7" t="s">
        <v>565</v>
      </c>
      <c r="F9" s="7" t="s">
        <v>601</v>
      </c>
      <c r="G9" s="7" t="s">
        <v>602</v>
      </c>
      <c r="H9" s="7" t="s">
        <v>603</v>
      </c>
      <c r="I9" s="7" t="s">
        <v>604</v>
      </c>
      <c r="J9" s="7" t="s">
        <v>605</v>
      </c>
    </row>
    <row r="10" spans="1:10" ht="63.75" customHeight="1">
      <c r="A10" s="1" t="s">
        <v>727</v>
      </c>
      <c r="B10" s="7" t="s">
        <v>606</v>
      </c>
      <c r="C10" s="7" t="s">
        <v>556</v>
      </c>
      <c r="D10" s="7" t="s">
        <v>557</v>
      </c>
      <c r="E10" s="7" t="s">
        <v>558</v>
      </c>
      <c r="F10" s="7" t="s">
        <v>559</v>
      </c>
      <c r="G10" s="7" t="s">
        <v>560</v>
      </c>
      <c r="H10" s="7" t="s">
        <v>607</v>
      </c>
      <c r="I10" s="7" t="s">
        <v>608</v>
      </c>
      <c r="J10" s="7" t="s">
        <v>609</v>
      </c>
    </row>
    <row r="11" spans="1:10" ht="50.25" customHeight="1">
      <c r="A11" s="1" t="s">
        <v>728</v>
      </c>
      <c r="B11" s="7" t="s">
        <v>610</v>
      </c>
      <c r="C11" s="7" t="s">
        <v>583</v>
      </c>
      <c r="D11" s="7" t="s">
        <v>583</v>
      </c>
      <c r="E11" s="7" t="s">
        <v>565</v>
      </c>
      <c r="F11" s="7" t="s">
        <v>611</v>
      </c>
      <c r="G11" s="7" t="s">
        <v>612</v>
      </c>
      <c r="H11" s="7" t="s">
        <v>613</v>
      </c>
      <c r="I11" s="7" t="s">
        <v>614</v>
      </c>
      <c r="J11" s="7" t="s">
        <v>563</v>
      </c>
    </row>
    <row r="12" spans="1:10" ht="50.25" customHeight="1">
      <c r="A12" s="1" t="s">
        <v>729</v>
      </c>
      <c r="B12" s="7" t="s">
        <v>615</v>
      </c>
      <c r="C12" s="7" t="s">
        <v>556</v>
      </c>
      <c r="D12" s="7" t="s">
        <v>590</v>
      </c>
      <c r="E12" s="7" t="s">
        <v>565</v>
      </c>
      <c r="F12" s="7" t="s">
        <v>616</v>
      </c>
      <c r="G12" s="7" t="s">
        <v>617</v>
      </c>
      <c r="H12" s="7" t="s">
        <v>618</v>
      </c>
      <c r="I12" s="7" t="s">
        <v>619</v>
      </c>
      <c r="J12" s="7" t="s">
        <v>620</v>
      </c>
    </row>
    <row r="13" spans="1:10" ht="50.25" customHeight="1">
      <c r="A13" s="1" t="s">
        <v>730</v>
      </c>
      <c r="B13" s="7" t="s">
        <v>621</v>
      </c>
      <c r="C13" s="7" t="s">
        <v>583</v>
      </c>
      <c r="D13" s="7" t="s">
        <v>583</v>
      </c>
      <c r="E13" s="7" t="s">
        <v>558</v>
      </c>
      <c r="F13" s="7" t="s">
        <v>622</v>
      </c>
      <c r="G13" s="7" t="s">
        <v>623</v>
      </c>
      <c r="H13" s="7" t="s">
        <v>624</v>
      </c>
      <c r="I13" s="7" t="s">
        <v>625</v>
      </c>
      <c r="J13" s="7" t="s">
        <v>626</v>
      </c>
    </row>
    <row r="14" spans="1:10" ht="50.25" customHeight="1">
      <c r="A14" s="1" t="s">
        <v>731</v>
      </c>
      <c r="B14" s="7" t="s">
        <v>627</v>
      </c>
      <c r="C14" s="7" t="s">
        <v>556</v>
      </c>
      <c r="D14" s="7" t="s">
        <v>557</v>
      </c>
      <c r="E14" s="7" t="s">
        <v>565</v>
      </c>
      <c r="F14" s="7" t="s">
        <v>628</v>
      </c>
      <c r="G14" s="7" t="s">
        <v>629</v>
      </c>
      <c r="H14" s="7" t="s">
        <v>630</v>
      </c>
      <c r="I14" s="7" t="s">
        <v>631</v>
      </c>
      <c r="J14" s="7" t="s">
        <v>632</v>
      </c>
    </row>
    <row r="15" spans="1:10" ht="48" customHeight="1">
      <c r="A15" s="1" t="s">
        <v>732</v>
      </c>
      <c r="B15" s="7" t="s">
        <v>633</v>
      </c>
      <c r="C15" s="7" t="s">
        <v>583</v>
      </c>
      <c r="D15" s="7" t="s">
        <v>583</v>
      </c>
      <c r="E15" s="7" t="s">
        <v>634</v>
      </c>
      <c r="F15" s="7" t="s">
        <v>635</v>
      </c>
      <c r="G15" s="7" t="s">
        <v>636</v>
      </c>
      <c r="H15" s="7" t="s">
        <v>637</v>
      </c>
      <c r="I15" s="7" t="s">
        <v>638</v>
      </c>
      <c r="J15" s="7" t="s">
        <v>639</v>
      </c>
    </row>
    <row r="16" spans="1:10" ht="50.25" customHeight="1">
      <c r="A16" s="1" t="s">
        <v>733</v>
      </c>
      <c r="B16" s="7" t="s">
        <v>640</v>
      </c>
      <c r="C16" s="7" t="s">
        <v>583</v>
      </c>
      <c r="D16" s="7" t="s">
        <v>583</v>
      </c>
      <c r="E16" s="7" t="s">
        <v>634</v>
      </c>
      <c r="F16" s="7" t="s">
        <v>641</v>
      </c>
      <c r="G16" s="7" t="s">
        <v>642</v>
      </c>
      <c r="H16" s="7" t="s">
        <v>643</v>
      </c>
      <c r="I16" s="7" t="s">
        <v>644</v>
      </c>
      <c r="J16" s="7" t="s">
        <v>645</v>
      </c>
    </row>
    <row r="17" spans="1:10" ht="63.75" customHeight="1">
      <c r="A17" s="1" t="s">
        <v>734</v>
      </c>
      <c r="B17" s="7" t="s">
        <v>646</v>
      </c>
      <c r="C17" s="7" t="s">
        <v>583</v>
      </c>
      <c r="D17" s="7" t="s">
        <v>590</v>
      </c>
      <c r="E17" s="7" t="s">
        <v>558</v>
      </c>
      <c r="F17" s="7" t="s">
        <v>573</v>
      </c>
      <c r="G17" s="7" t="s">
        <v>574</v>
      </c>
      <c r="H17" s="7" t="s">
        <v>647</v>
      </c>
      <c r="I17" s="7" t="s">
        <v>648</v>
      </c>
      <c r="J17" s="7"/>
    </row>
    <row r="18" spans="1:10" ht="63.75" customHeight="1">
      <c r="A18" s="1" t="s">
        <v>735</v>
      </c>
      <c r="B18" s="7" t="s">
        <v>649</v>
      </c>
      <c r="C18" s="7" t="s">
        <v>583</v>
      </c>
      <c r="D18" s="7" t="s">
        <v>583</v>
      </c>
      <c r="E18" s="7" t="s">
        <v>558</v>
      </c>
      <c r="F18" s="7" t="s">
        <v>573</v>
      </c>
      <c r="G18" s="7" t="s">
        <v>574</v>
      </c>
      <c r="H18" s="7" t="s">
        <v>650</v>
      </c>
      <c r="I18" s="7" t="s">
        <v>651</v>
      </c>
      <c r="J18" s="7"/>
    </row>
    <row r="19" spans="1:10" ht="78" customHeight="1">
      <c r="A19" s="1" t="s">
        <v>736</v>
      </c>
      <c r="B19" s="7" t="s">
        <v>652</v>
      </c>
      <c r="C19" s="7" t="s">
        <v>583</v>
      </c>
      <c r="D19" s="7" t="s">
        <v>583</v>
      </c>
      <c r="E19" s="7" t="s">
        <v>558</v>
      </c>
      <c r="F19" s="7" t="s">
        <v>653</v>
      </c>
      <c r="G19" s="7" t="s">
        <v>654</v>
      </c>
      <c r="H19" s="7" t="s">
        <v>655</v>
      </c>
      <c r="I19" s="7" t="s">
        <v>656</v>
      </c>
      <c r="J19" s="7"/>
    </row>
    <row r="20" spans="1:10" ht="50.25" customHeight="1">
      <c r="A20" s="1" t="s">
        <v>737</v>
      </c>
      <c r="B20" s="7" t="s">
        <v>657</v>
      </c>
      <c r="C20" s="7" t="s">
        <v>583</v>
      </c>
      <c r="D20" s="7" t="s">
        <v>583</v>
      </c>
      <c r="E20" s="7" t="s">
        <v>565</v>
      </c>
      <c r="F20" s="7" t="s">
        <v>601</v>
      </c>
      <c r="G20" s="7" t="s">
        <v>602</v>
      </c>
      <c r="H20" s="7" t="s">
        <v>658</v>
      </c>
      <c r="I20" s="7" t="s">
        <v>659</v>
      </c>
      <c r="J20" s="7"/>
    </row>
    <row r="21" spans="1:10" ht="63.75" customHeight="1">
      <c r="A21" s="1" t="s">
        <v>738</v>
      </c>
      <c r="B21" s="7" t="s">
        <v>660</v>
      </c>
      <c r="C21" s="7" t="s">
        <v>583</v>
      </c>
      <c r="D21" s="7" t="s">
        <v>590</v>
      </c>
      <c r="E21" s="7" t="s">
        <v>558</v>
      </c>
      <c r="F21" s="7" t="s">
        <v>573</v>
      </c>
      <c r="G21" s="7" t="s">
        <v>574</v>
      </c>
      <c r="H21" s="7" t="s">
        <v>661</v>
      </c>
      <c r="I21" s="7" t="s">
        <v>662</v>
      </c>
      <c r="J21" s="7" t="s">
        <v>663</v>
      </c>
    </row>
    <row r="22" spans="1:10" ht="63.75" customHeight="1">
      <c r="A22" s="1" t="s">
        <v>739</v>
      </c>
      <c r="B22" s="7" t="s">
        <v>664</v>
      </c>
      <c r="C22" s="7" t="s">
        <v>583</v>
      </c>
      <c r="D22" s="7" t="s">
        <v>583</v>
      </c>
      <c r="E22" s="7" t="s">
        <v>558</v>
      </c>
      <c r="F22" s="7" t="s">
        <v>573</v>
      </c>
      <c r="G22" s="7" t="s">
        <v>574</v>
      </c>
      <c r="H22" s="7" t="s">
        <v>665</v>
      </c>
      <c r="I22" s="7" t="s">
        <v>666</v>
      </c>
      <c r="J22" s="7"/>
    </row>
    <row r="23" spans="1:10" ht="204" customHeight="1">
      <c r="A23" s="1" t="s">
        <v>740</v>
      </c>
      <c r="B23" s="7" t="s">
        <v>667</v>
      </c>
      <c r="C23" s="7" t="s">
        <v>556</v>
      </c>
      <c r="D23" s="7" t="s">
        <v>557</v>
      </c>
      <c r="E23" s="7" t="s">
        <v>558</v>
      </c>
      <c r="F23" s="7" t="s">
        <v>668</v>
      </c>
      <c r="G23" s="7" t="s">
        <v>669</v>
      </c>
      <c r="H23" s="7" t="s">
        <v>670</v>
      </c>
      <c r="I23" s="7" t="s">
        <v>671</v>
      </c>
      <c r="J23" s="7" t="s">
        <v>672</v>
      </c>
    </row>
    <row r="24" spans="1:10" ht="50.25" customHeight="1">
      <c r="A24" s="1" t="s">
        <v>741</v>
      </c>
      <c r="B24" s="7" t="s">
        <v>673</v>
      </c>
      <c r="C24" s="7" t="s">
        <v>583</v>
      </c>
      <c r="D24" s="7" t="s">
        <v>583</v>
      </c>
      <c r="E24" s="7" t="s">
        <v>558</v>
      </c>
      <c r="F24" s="7" t="s">
        <v>622</v>
      </c>
      <c r="G24" s="7" t="s">
        <v>623</v>
      </c>
      <c r="H24" s="7" t="s">
        <v>674</v>
      </c>
      <c r="I24" s="7" t="s">
        <v>675</v>
      </c>
      <c r="J24" s="7" t="s">
        <v>676</v>
      </c>
    </row>
    <row r="25" spans="1:10" ht="78" customHeight="1">
      <c r="A25" s="1" t="s">
        <v>742</v>
      </c>
      <c r="B25" s="7" t="s">
        <v>677</v>
      </c>
      <c r="C25" s="7" t="s">
        <v>583</v>
      </c>
      <c r="D25" s="7" t="s">
        <v>590</v>
      </c>
      <c r="E25" s="7" t="s">
        <v>558</v>
      </c>
      <c r="F25" s="7" t="s">
        <v>653</v>
      </c>
      <c r="G25" s="7" t="s">
        <v>654</v>
      </c>
      <c r="H25" s="7" t="s">
        <v>678</v>
      </c>
      <c r="I25" s="7" t="s">
        <v>679</v>
      </c>
      <c r="J25" s="7" t="s">
        <v>680</v>
      </c>
    </row>
    <row r="26" spans="1:10" ht="204" customHeight="1">
      <c r="A26" s="1" t="s">
        <v>743</v>
      </c>
      <c r="B26" s="7" t="s">
        <v>681</v>
      </c>
      <c r="C26" s="7" t="s">
        <v>556</v>
      </c>
      <c r="D26" s="7" t="s">
        <v>557</v>
      </c>
      <c r="E26" s="7" t="s">
        <v>558</v>
      </c>
      <c r="F26" s="7" t="s">
        <v>668</v>
      </c>
      <c r="G26" s="7" t="s">
        <v>669</v>
      </c>
      <c r="H26" s="7" t="s">
        <v>682</v>
      </c>
      <c r="I26" s="7" t="s">
        <v>683</v>
      </c>
      <c r="J26" s="7" t="s">
        <v>684</v>
      </c>
    </row>
    <row r="27" spans="1:10" ht="63.75" customHeight="1">
      <c r="A27" s="1" t="s">
        <v>744</v>
      </c>
      <c r="B27" s="7" t="s">
        <v>685</v>
      </c>
      <c r="C27" s="7" t="s">
        <v>556</v>
      </c>
      <c r="D27" s="7" t="s">
        <v>590</v>
      </c>
      <c r="E27" s="7" t="s">
        <v>565</v>
      </c>
      <c r="F27" s="7" t="s">
        <v>686</v>
      </c>
      <c r="G27" s="7" t="s">
        <v>687</v>
      </c>
      <c r="H27" s="7" t="s">
        <v>688</v>
      </c>
      <c r="I27" s="7" t="s">
        <v>689</v>
      </c>
      <c r="J27" s="7" t="s">
        <v>690</v>
      </c>
    </row>
    <row r="28" spans="1:10" ht="50.25" customHeight="1">
      <c r="A28" s="1" t="s">
        <v>745</v>
      </c>
      <c r="B28" s="7" t="s">
        <v>691</v>
      </c>
      <c r="C28" s="7" t="s">
        <v>583</v>
      </c>
      <c r="D28" s="7" t="s">
        <v>590</v>
      </c>
      <c r="E28" s="7" t="s">
        <v>634</v>
      </c>
      <c r="F28" s="7" t="s">
        <v>692</v>
      </c>
      <c r="G28" s="7" t="s">
        <v>693</v>
      </c>
      <c r="H28" s="7" t="s">
        <v>694</v>
      </c>
      <c r="I28" s="7" t="s">
        <v>695</v>
      </c>
      <c r="J28" s="7" t="s">
        <v>696</v>
      </c>
    </row>
    <row r="29" spans="1:10" ht="50.25" customHeight="1">
      <c r="A29" s="1" t="s">
        <v>746</v>
      </c>
      <c r="B29" s="7" t="s">
        <v>697</v>
      </c>
      <c r="C29" s="7" t="s">
        <v>583</v>
      </c>
      <c r="D29" s="7" t="s">
        <v>590</v>
      </c>
      <c r="E29" s="7" t="s">
        <v>698</v>
      </c>
      <c r="F29" s="7" t="s">
        <v>699</v>
      </c>
      <c r="H29" s="7" t="s">
        <v>700</v>
      </c>
      <c r="I29" s="7" t="s">
        <v>701</v>
      </c>
      <c r="J29" s="7" t="s">
        <v>680</v>
      </c>
    </row>
    <row r="30" spans="1:10" ht="50.25" customHeight="1">
      <c r="A30" s="1" t="s">
        <v>747</v>
      </c>
      <c r="B30" s="7" t="s">
        <v>702</v>
      </c>
      <c r="C30" s="7" t="s">
        <v>556</v>
      </c>
      <c r="D30" s="7" t="s">
        <v>590</v>
      </c>
      <c r="E30" s="7" t="s">
        <v>565</v>
      </c>
      <c r="F30" s="7" t="s">
        <v>703</v>
      </c>
      <c r="G30" s="7" t="s">
        <v>704</v>
      </c>
      <c r="H30" s="7" t="s">
        <v>705</v>
      </c>
      <c r="I30" s="7" t="s">
        <v>706</v>
      </c>
      <c r="J30" s="7" t="s">
        <v>707</v>
      </c>
    </row>
    <row r="31" spans="1:10" ht="63.75" customHeight="1">
      <c r="A31" s="1" t="s">
        <v>748</v>
      </c>
      <c r="B31" s="7" t="s">
        <v>708</v>
      </c>
      <c r="C31" s="7" t="s">
        <v>571</v>
      </c>
      <c r="D31" s="7" t="s">
        <v>572</v>
      </c>
      <c r="E31" s="7" t="s">
        <v>558</v>
      </c>
      <c r="F31" s="7" t="s">
        <v>573</v>
      </c>
      <c r="G31" s="7" t="s">
        <v>574</v>
      </c>
      <c r="H31" s="7" t="s">
        <v>709</v>
      </c>
      <c r="I31" s="7" t="s">
        <v>710</v>
      </c>
      <c r="J31" s="7" t="s">
        <v>593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32"/>
  <sheetViews>
    <sheetView workbookViewId="0" showGridLines="0">
      <pane xSplit="1" ySplit="1" topLeftCell="B2" activePane="bottomRight" state="frozen"/>
      <selection pane="bottomRight" activeCell="B2" sqref="B2"/>
    </sheetView>
  </sheetViews>
  <sheetFormatPr defaultRowHeight="15"/>
  <cols>
    <col min="1" max="1" width="40.7109375" customWidth="1"/>
    <col min="2" max="2" width="60.7109375" customWidth="1"/>
    <col min="3" max="3" width="90.7109375" customWidth="1"/>
    <col min="4" max="5" width="22.7109375" customWidth="1"/>
    <col min="6" max="6" width="72.7109375" customWidth="1"/>
    <col min="7" max="7" width="112.7109375" customWidth="1"/>
  </cols>
  <sheetData>
    <row r="1" spans="1:7" ht="36" customHeight="1">
      <c r="A1" s="1" t="s">
        <v>898</v>
      </c>
      <c r="B1" s="2" t="s">
        <v>874</v>
      </c>
      <c r="C1" s="2" t="s">
        <v>875</v>
      </c>
      <c r="D1" s="2" t="s">
        <v>876</v>
      </c>
      <c r="E1" s="2" t="s">
        <v>877</v>
      </c>
      <c r="F1" s="2" t="s">
        <v>878</v>
      </c>
      <c r="G1" s="2" t="s">
        <v>879</v>
      </c>
    </row>
    <row r="2" spans="1:7" ht="48" customHeight="1">
      <c r="A2" s="1" t="s">
        <v>211</v>
      </c>
      <c r="B2" s="7" t="s">
        <v>750</v>
      </c>
      <c r="C2" s="7" t="s">
        <v>751</v>
      </c>
      <c r="D2" s="7" t="s">
        <v>752</v>
      </c>
      <c r="E2" s="7" t="s">
        <v>753</v>
      </c>
      <c r="F2" s="7"/>
      <c r="G2" s="7" t="s">
        <v>754</v>
      </c>
    </row>
    <row r="3" spans="1:7" ht="48" customHeight="1">
      <c r="A3" s="1" t="s">
        <v>209</v>
      </c>
      <c r="B3" s="7" t="s">
        <v>755</v>
      </c>
      <c r="C3" s="7" t="s">
        <v>756</v>
      </c>
      <c r="D3" s="7" t="s">
        <v>757</v>
      </c>
      <c r="E3" s="7" t="s">
        <v>758</v>
      </c>
      <c r="F3" s="7"/>
      <c r="G3" s="7" t="s">
        <v>759</v>
      </c>
    </row>
    <row r="4" spans="1:7" ht="48" customHeight="1">
      <c r="A4" s="1" t="s">
        <v>207</v>
      </c>
      <c r="B4" s="7" t="s">
        <v>760</v>
      </c>
      <c r="C4" s="7" t="s">
        <v>761</v>
      </c>
      <c r="D4" s="7" t="s">
        <v>762</v>
      </c>
      <c r="E4" s="7" t="s">
        <v>763</v>
      </c>
      <c r="F4" s="7"/>
      <c r="G4" s="7" t="s">
        <v>764</v>
      </c>
    </row>
    <row r="5" spans="1:7" ht="48" customHeight="1">
      <c r="A5" s="1" t="s">
        <v>565</v>
      </c>
      <c r="B5" s="7" t="s">
        <v>765</v>
      </c>
      <c r="C5" s="7" t="s">
        <v>766</v>
      </c>
      <c r="D5" s="7"/>
      <c r="E5" s="7"/>
      <c r="F5" s="7"/>
      <c r="G5" s="7"/>
    </row>
    <row r="6" spans="1:7" ht="48" customHeight="1">
      <c r="A6" s="1" t="s">
        <v>698</v>
      </c>
      <c r="B6" s="7" t="s">
        <v>767</v>
      </c>
      <c r="C6" s="7" t="s">
        <v>768</v>
      </c>
      <c r="D6" s="7"/>
      <c r="E6" s="7"/>
      <c r="F6" s="7"/>
      <c r="G6" s="7"/>
    </row>
    <row r="7" spans="1:7" ht="48" customHeight="1">
      <c r="A7" s="1" t="s">
        <v>634</v>
      </c>
      <c r="B7" s="7" t="s">
        <v>769</v>
      </c>
      <c r="C7" s="7" t="s">
        <v>770</v>
      </c>
      <c r="D7" s="7"/>
      <c r="E7" s="7"/>
      <c r="F7" s="7"/>
      <c r="G7" s="7"/>
    </row>
    <row r="8" spans="1:7" ht="48" customHeight="1">
      <c r="A8" s="1" t="s">
        <v>880</v>
      </c>
      <c r="B8" s="7" t="s">
        <v>771</v>
      </c>
      <c r="C8" s="7" t="s">
        <v>772</v>
      </c>
      <c r="D8" s="7"/>
      <c r="E8" s="7"/>
      <c r="F8" s="7"/>
      <c r="G8" s="7"/>
    </row>
    <row r="9" spans="1:7" ht="48" customHeight="1">
      <c r="A9" s="1" t="s">
        <v>881</v>
      </c>
      <c r="B9" s="7" t="s">
        <v>773</v>
      </c>
      <c r="C9" s="7" t="s">
        <v>774</v>
      </c>
      <c r="D9" s="7" t="s">
        <v>775</v>
      </c>
      <c r="E9" s="7" t="s">
        <v>775</v>
      </c>
      <c r="F9" s="7"/>
      <c r="G9" s="7" t="s">
        <v>776</v>
      </c>
    </row>
    <row r="10" spans="1:7" ht="48" customHeight="1">
      <c r="A10" s="1" t="s">
        <v>558</v>
      </c>
      <c r="B10" s="7" t="s">
        <v>777</v>
      </c>
      <c r="C10" s="7" t="s">
        <v>778</v>
      </c>
      <c r="D10" s="7"/>
      <c r="E10" s="7"/>
      <c r="F10" s="7"/>
      <c r="G10" s="7"/>
    </row>
    <row r="11" spans="1:7" ht="48" customHeight="1">
      <c r="A11" s="1" t="s">
        <v>882</v>
      </c>
      <c r="B11" s="7" t="s">
        <v>779</v>
      </c>
      <c r="C11" s="7" t="s">
        <v>780</v>
      </c>
      <c r="D11" s="7" t="s">
        <v>781</v>
      </c>
      <c r="E11" s="7" t="s">
        <v>782</v>
      </c>
      <c r="F11" s="7" t="s">
        <v>783</v>
      </c>
      <c r="G11" s="7" t="s">
        <v>784</v>
      </c>
    </row>
    <row r="12" spans="1:7" ht="48" customHeight="1">
      <c r="A12" s="1" t="s">
        <v>883</v>
      </c>
      <c r="B12" s="7" t="s">
        <v>785</v>
      </c>
      <c r="C12" s="7" t="s">
        <v>786</v>
      </c>
      <c r="D12" s="7" t="s">
        <v>787</v>
      </c>
      <c r="E12" s="7" t="s">
        <v>788</v>
      </c>
      <c r="F12" s="7" t="s">
        <v>789</v>
      </c>
      <c r="G12" s="7" t="s">
        <v>790</v>
      </c>
    </row>
    <row r="13" spans="1:7" ht="48" customHeight="1">
      <c r="A13" s="1" t="s">
        <v>672</v>
      </c>
      <c r="B13" s="7" t="s">
        <v>791</v>
      </c>
      <c r="C13" s="7" t="s">
        <v>792</v>
      </c>
      <c r="D13" s="7" t="s">
        <v>793</v>
      </c>
      <c r="E13" s="7" t="s">
        <v>794</v>
      </c>
      <c r="F13" s="7" t="s">
        <v>795</v>
      </c>
      <c r="G13" s="7" t="s">
        <v>796</v>
      </c>
    </row>
    <row r="14" spans="1:7" ht="48" customHeight="1">
      <c r="A14" s="1" t="s">
        <v>599</v>
      </c>
      <c r="B14" s="7" t="s">
        <v>797</v>
      </c>
      <c r="C14" s="7" t="s">
        <v>798</v>
      </c>
      <c r="D14" s="7" t="s">
        <v>793</v>
      </c>
      <c r="E14" s="7" t="s">
        <v>794</v>
      </c>
      <c r="F14" s="7" t="s">
        <v>799</v>
      </c>
      <c r="G14" s="7" t="s">
        <v>800</v>
      </c>
    </row>
    <row r="15" spans="1:7" ht="48" customHeight="1">
      <c r="A15" s="1" t="s">
        <v>884</v>
      </c>
      <c r="B15" s="7" t="s">
        <v>801</v>
      </c>
      <c r="C15" s="7" t="s">
        <v>802</v>
      </c>
      <c r="D15" s="7" t="s">
        <v>793</v>
      </c>
      <c r="E15" s="7" t="s">
        <v>794</v>
      </c>
      <c r="F15" s="7" t="s">
        <v>803</v>
      </c>
      <c r="G15" s="7" t="s">
        <v>804</v>
      </c>
    </row>
    <row r="16" spans="1:7" ht="48" customHeight="1">
      <c r="A16" s="1" t="s">
        <v>663</v>
      </c>
      <c r="B16" s="7" t="s">
        <v>805</v>
      </c>
      <c r="C16" s="7" t="s">
        <v>806</v>
      </c>
      <c r="D16" s="7" t="s">
        <v>793</v>
      </c>
      <c r="E16" s="7" t="s">
        <v>794</v>
      </c>
      <c r="F16" s="7" t="s">
        <v>807</v>
      </c>
      <c r="G16" s="7" t="s">
        <v>808</v>
      </c>
    </row>
    <row r="17" spans="1:7" ht="48" customHeight="1">
      <c r="A17" s="1" t="s">
        <v>885</v>
      </c>
      <c r="B17" s="7" t="s">
        <v>809</v>
      </c>
      <c r="C17" s="7" t="s">
        <v>810</v>
      </c>
      <c r="D17" s="7" t="s">
        <v>793</v>
      </c>
      <c r="E17" s="7" t="s">
        <v>794</v>
      </c>
      <c r="F17" s="7" t="s">
        <v>811</v>
      </c>
      <c r="G17" s="7" t="s">
        <v>812</v>
      </c>
    </row>
    <row r="18" spans="1:7" ht="48" customHeight="1">
      <c r="A18" s="1" t="s">
        <v>563</v>
      </c>
      <c r="B18" s="7" t="s">
        <v>813</v>
      </c>
      <c r="C18" s="7" t="s">
        <v>814</v>
      </c>
      <c r="D18" s="7" t="s">
        <v>793</v>
      </c>
      <c r="E18" s="7" t="s">
        <v>794</v>
      </c>
      <c r="F18" s="7" t="s">
        <v>815</v>
      </c>
      <c r="G18" s="7" t="s">
        <v>816</v>
      </c>
    </row>
    <row r="19" spans="1:7" ht="48" customHeight="1">
      <c r="A19" s="1" t="s">
        <v>886</v>
      </c>
      <c r="B19" s="7" t="s">
        <v>817</v>
      </c>
      <c r="C19" s="7" t="s">
        <v>818</v>
      </c>
      <c r="D19" s="7" t="s">
        <v>793</v>
      </c>
      <c r="E19" s="7" t="s">
        <v>794</v>
      </c>
      <c r="F19" s="7" t="s">
        <v>819</v>
      </c>
      <c r="G19" s="7" t="s">
        <v>820</v>
      </c>
    </row>
    <row r="20" spans="1:7" ht="48" customHeight="1">
      <c r="A20" s="1" t="s">
        <v>887</v>
      </c>
      <c r="B20" s="7" t="s">
        <v>821</v>
      </c>
      <c r="C20" s="7" t="s">
        <v>822</v>
      </c>
      <c r="D20" s="7" t="s">
        <v>793</v>
      </c>
      <c r="E20" s="7" t="s">
        <v>794</v>
      </c>
      <c r="F20" s="7" t="s">
        <v>823</v>
      </c>
      <c r="G20" s="7" t="s">
        <v>824</v>
      </c>
    </row>
    <row r="21" spans="1:7" ht="48" customHeight="1">
      <c r="A21" s="1" t="s">
        <v>888</v>
      </c>
      <c r="B21" s="7" t="s">
        <v>825</v>
      </c>
      <c r="C21" s="7" t="s">
        <v>826</v>
      </c>
      <c r="D21" s="7" t="s">
        <v>793</v>
      </c>
      <c r="E21" s="7" t="s">
        <v>794</v>
      </c>
      <c r="F21" s="7" t="s">
        <v>827</v>
      </c>
      <c r="G21" s="7" t="s">
        <v>828</v>
      </c>
    </row>
    <row r="22" spans="1:7" ht="48" customHeight="1">
      <c r="A22" s="1" t="s">
        <v>889</v>
      </c>
      <c r="B22" s="7" t="s">
        <v>829</v>
      </c>
      <c r="C22" s="7" t="s">
        <v>830</v>
      </c>
      <c r="D22" s="7" t="s">
        <v>793</v>
      </c>
      <c r="E22" s="7" t="s">
        <v>794</v>
      </c>
      <c r="F22" s="7" t="s">
        <v>831</v>
      </c>
      <c r="G22" s="7" t="s">
        <v>832</v>
      </c>
    </row>
    <row r="23" spans="1:7" ht="48" customHeight="1">
      <c r="A23" s="1" t="s">
        <v>645</v>
      </c>
      <c r="B23" s="7" t="s">
        <v>833</v>
      </c>
      <c r="C23" s="7" t="s">
        <v>834</v>
      </c>
      <c r="D23" s="7" t="s">
        <v>793</v>
      </c>
      <c r="E23" s="7" t="s">
        <v>794</v>
      </c>
      <c r="F23" s="7" t="s">
        <v>835</v>
      </c>
      <c r="G23" s="7" t="s">
        <v>836</v>
      </c>
    </row>
    <row r="24" spans="1:7" ht="48" customHeight="1">
      <c r="A24" s="1" t="s">
        <v>890</v>
      </c>
      <c r="B24" s="7" t="s">
        <v>837</v>
      </c>
      <c r="C24" s="7" t="s">
        <v>838</v>
      </c>
      <c r="D24" s="7" t="s">
        <v>793</v>
      </c>
      <c r="E24" s="7" t="s">
        <v>839</v>
      </c>
      <c r="F24" s="7" t="s">
        <v>840</v>
      </c>
      <c r="G24" s="7" t="s">
        <v>841</v>
      </c>
    </row>
    <row r="25" spans="1:7" ht="50.25" customHeight="1">
      <c r="A25" s="1" t="s">
        <v>891</v>
      </c>
      <c r="B25" s="7" t="s">
        <v>842</v>
      </c>
      <c r="C25" s="7" t="s">
        <v>838</v>
      </c>
      <c r="D25" s="7" t="s">
        <v>793</v>
      </c>
      <c r="E25" s="7" t="s">
        <v>839</v>
      </c>
      <c r="F25" s="7" t="s">
        <v>843</v>
      </c>
      <c r="G25" s="7" t="s">
        <v>844</v>
      </c>
    </row>
    <row r="26" spans="1:7" ht="48" customHeight="1">
      <c r="A26" s="1" t="s">
        <v>892</v>
      </c>
      <c r="B26" s="7" t="s">
        <v>845</v>
      </c>
      <c r="C26" s="7" t="s">
        <v>846</v>
      </c>
      <c r="D26" s="7" t="s">
        <v>793</v>
      </c>
      <c r="E26" s="7" t="s">
        <v>839</v>
      </c>
      <c r="F26" s="7" t="s">
        <v>847</v>
      </c>
      <c r="G26" s="7" t="s">
        <v>848</v>
      </c>
    </row>
    <row r="27" spans="1:7" ht="48" customHeight="1">
      <c r="A27" s="1" t="s">
        <v>893</v>
      </c>
      <c r="B27" s="7" t="s">
        <v>849</v>
      </c>
      <c r="C27" s="7" t="s">
        <v>850</v>
      </c>
      <c r="D27" s="7" t="s">
        <v>793</v>
      </c>
      <c r="E27" s="7" t="s">
        <v>794</v>
      </c>
      <c r="F27" s="7" t="s">
        <v>851</v>
      </c>
      <c r="G27" s="7" t="s">
        <v>852</v>
      </c>
    </row>
    <row r="28" spans="1:7" ht="48" customHeight="1">
      <c r="A28" s="1" t="s">
        <v>894</v>
      </c>
      <c r="B28" s="7" t="s">
        <v>853</v>
      </c>
      <c r="C28" s="7" t="s">
        <v>854</v>
      </c>
      <c r="D28" s="7" t="s">
        <v>793</v>
      </c>
      <c r="E28" s="7" t="s">
        <v>794</v>
      </c>
      <c r="F28" s="7" t="s">
        <v>855</v>
      </c>
      <c r="G28" s="7" t="s">
        <v>856</v>
      </c>
    </row>
    <row r="29" spans="1:7" ht="63.75" customHeight="1">
      <c r="A29" s="1" t="s">
        <v>895</v>
      </c>
      <c r="B29" s="7" t="s">
        <v>857</v>
      </c>
      <c r="C29" s="7" t="s">
        <v>858</v>
      </c>
      <c r="D29" s="7" t="s">
        <v>793</v>
      </c>
      <c r="E29" s="7" t="s">
        <v>859</v>
      </c>
      <c r="F29" s="7" t="s">
        <v>860</v>
      </c>
      <c r="G29" s="7" t="s">
        <v>861</v>
      </c>
    </row>
    <row r="30" spans="1:7" ht="48" customHeight="1">
      <c r="A30" s="1" t="s">
        <v>896</v>
      </c>
      <c r="B30" s="7" t="s">
        <v>862</v>
      </c>
      <c r="C30" s="7" t="s">
        <v>863</v>
      </c>
      <c r="D30" s="7" t="s">
        <v>793</v>
      </c>
      <c r="E30" s="7" t="s">
        <v>794</v>
      </c>
      <c r="F30" s="7" t="s">
        <v>864</v>
      </c>
      <c r="G30" s="7" t="s">
        <v>865</v>
      </c>
    </row>
    <row r="31" spans="1:7" ht="48" customHeight="1">
      <c r="A31" s="1" t="s">
        <v>639</v>
      </c>
      <c r="B31" s="7" t="s">
        <v>866</v>
      </c>
      <c r="C31" s="7" t="s">
        <v>867</v>
      </c>
      <c r="D31" s="7" t="s">
        <v>793</v>
      </c>
      <c r="E31" s="7" t="s">
        <v>794</v>
      </c>
      <c r="F31" s="7" t="s">
        <v>868</v>
      </c>
      <c r="G31" s="7" t="s">
        <v>869</v>
      </c>
    </row>
    <row r="32" spans="1:7" ht="48" customHeight="1">
      <c r="A32" s="1" t="s">
        <v>897</v>
      </c>
      <c r="B32" s="7" t="s">
        <v>870</v>
      </c>
      <c r="C32" s="7" t="s">
        <v>871</v>
      </c>
      <c r="D32" s="7" t="s">
        <v>872</v>
      </c>
      <c r="E32" s="7" t="s">
        <v>872</v>
      </c>
      <c r="F32" s="7"/>
      <c r="G32" s="7" t="s">
        <v>873</v>
      </c>
    </row>
  </sheetData>
  <hyperlinks>
    <hyperlink ref="C2" r:id="rId1"/>
    <hyperlink ref="C3" r:id="rId2"/>
    <hyperlink ref="C4" r:id="rId3"/>
    <hyperlink ref="C5" r:id="rId4"/>
    <hyperlink ref="C6" r:id="rId5"/>
    <hyperlink ref="C7" r:id="rId6"/>
    <hyperlink ref="C8" r:id="rId7"/>
    <hyperlink ref="C9" r:id="rId8"/>
    <hyperlink ref="C10" r:id="rId9"/>
    <hyperlink ref="C11" r:id="rId10" location="f-421"/>
    <hyperlink ref="C12" r:id="rId11" location="f-627"/>
    <hyperlink ref="C13" r:id="rId12" location="f-59"/>
    <hyperlink ref="C14" r:id="rId13" location="f-271"/>
    <hyperlink ref="C15" r:id="rId14"/>
    <hyperlink ref="C16" r:id="rId15" location="f-382"/>
    <hyperlink ref="C17" r:id="rId16" location="f-383"/>
    <hyperlink ref="C18" r:id="rId17" location="f-131"/>
    <hyperlink ref="C19" r:id="rId18" location="f-654"/>
    <hyperlink ref="C20" r:id="rId19" location="f-645"/>
    <hyperlink ref="C21" r:id="rId20" location="f-628"/>
    <hyperlink ref="C22" r:id="rId21" location="f-1042"/>
    <hyperlink ref="C23" r:id="rId22" location="f-915"/>
    <hyperlink ref="C24" r:id="rId23" location="i7c76bc05904e41ed9c82212460f7162e_133"/>
    <hyperlink ref="C25" r:id="rId24" location="i7c76bc05904e41ed9c82212460f7162e_133"/>
    <hyperlink ref="C26" r:id="rId25" location="i7c76bc05904e41ed9c82212460f7162e_118"/>
    <hyperlink ref="C27" r:id="rId26" location="f-991"/>
    <hyperlink ref="C28" r:id="rId27" location="f-446"/>
    <hyperlink ref="C29" r:id="rId28"/>
    <hyperlink ref="C30" r:id="rId29" location="f-1002"/>
    <hyperlink ref="C31" r:id="rId30" location="f-942"/>
    <hyperlink ref="C32" r:id="rId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WD40_Summary</vt:lpstr>
      <vt:lpstr>WD40_Methods</vt:lpstr>
      <vt:lpstr>WD40_Regions_bear</vt:lpstr>
      <vt:lpstr>WD40_Regions_base</vt:lpstr>
      <vt:lpstr>WD40_Regions_bull</vt:lpstr>
      <vt:lpstr>WD40_Inputs_original</vt:lpstr>
      <vt:lpstr>WD40_DCF_original</vt:lpstr>
      <vt:lpstr>WD40_Inputs_bear</vt:lpstr>
      <vt:lpstr>WD40_DCF_bear</vt:lpstr>
      <vt:lpstr>WD40_Inputs_base</vt:lpstr>
      <vt:lpstr>WD40_DCF_base</vt:lpstr>
      <vt:lpstr>WD40_Inputs_bull</vt:lpstr>
      <vt:lpstr>WD40_DCF_bull</vt:lpstr>
      <vt:lpstr>WD40_Precedents</vt:lpstr>
      <vt:lpstr>WD40_LBO</vt:lpstr>
      <vt:lpstr>WD40_DDM</vt:lpstr>
      <vt:lpstr>WD40_Synergies</vt:lpstr>
      <vt:lpstr>WD40_Basis</vt:lpstr>
      <vt:lpstr>WD40_Questions</vt:lpstr>
      <vt:lpstr>WD40_Sources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2026-10-29T08:04:39Z</dcterms:created>
  <dcterms:modified xsi:type="dcterms:W3CDTF">2026-10-29T08:04:39Z</dcterms:modified>
</cp:coreProperties>
</file>